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https://levantenl.sharepoint.com/sites/Macademia/Shared Documents/Hazyview II - via Wiekus/"/>
    </mc:Choice>
  </mc:AlternateContent>
  <xr:revisionPtr revIDLastSave="1073" documentId="8_{9539871B-521C-4966-8730-E09BDB2F11EF}" xr6:coauthVersionLast="47" xr6:coauthVersionMax="47" xr10:uidLastSave="{311963BA-2A2F-4531-B8D5-7D650D3313C9}"/>
  <bookViews>
    <workbookView xWindow="-15" yWindow="240" windowWidth="32475" windowHeight="20625" xr2:uid="{0152F53A-8F65-4BF8-B3CF-CF4D0D73C8A7}"/>
  </bookViews>
  <sheets>
    <sheet name="Parameters" sheetId="2" r:id="rId1"/>
    <sheet name="Orchard" sheetId="10" r:id="rId2"/>
    <sheet name="Orchard Analysis" sheetId="11" r:id="rId3"/>
    <sheet name="capex" sheetId="1" r:id="rId4"/>
    <sheet name="P&amp;L" sheetId="3" r:id="rId5"/>
    <sheet name="capital structure" sheetId="4" r:id="rId6"/>
    <sheet name="Returns" sheetId="6" r:id="rId7"/>
    <sheet name="Growth strategies" sheetId="7" r:id="rId8"/>
    <sheet name="AI Case analysis" sheetId="12" r:id="rId9"/>
  </sheets>
  <calcPr calcId="191028"/>
  <pivotCaches>
    <pivotCache cacheId="2" r:id="rId10"/>
    <pivotCache cacheId="3" r:id="rId11"/>
  </pivotCaches>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8" i="11" l="1"/>
  <c r="C17" i="11"/>
  <c r="D17" i="11"/>
  <c r="E17" i="11"/>
  <c r="F17" i="11"/>
  <c r="G17" i="11"/>
  <c r="H17" i="11"/>
  <c r="I17" i="11"/>
  <c r="J17" i="11"/>
  <c r="K17" i="11"/>
  <c r="L17" i="11"/>
  <c r="M17" i="11"/>
  <c r="N17" i="11"/>
  <c r="O17" i="11"/>
  <c r="C18" i="11"/>
  <c r="E18" i="11"/>
  <c r="F18" i="11"/>
  <c r="G18" i="11"/>
  <c r="H18" i="11"/>
  <c r="I18" i="11"/>
  <c r="J18" i="11"/>
  <c r="K18" i="11"/>
  <c r="L18" i="11"/>
  <c r="M18" i="11"/>
  <c r="N18" i="11"/>
  <c r="O18" i="11"/>
  <c r="C19" i="11"/>
  <c r="D19" i="11"/>
  <c r="E19" i="11"/>
  <c r="F19" i="11"/>
  <c r="G19" i="11"/>
  <c r="H19" i="11"/>
  <c r="I19" i="11"/>
  <c r="J19" i="11"/>
  <c r="K19" i="11"/>
  <c r="L19" i="11"/>
  <c r="M19" i="11"/>
  <c r="N19" i="11"/>
  <c r="O19" i="11"/>
  <c r="D16" i="11"/>
  <c r="E16" i="11"/>
  <c r="F16" i="11"/>
  <c r="G16" i="11"/>
  <c r="H16" i="11"/>
  <c r="I16" i="11"/>
  <c r="J16" i="11"/>
  <c r="K16" i="11"/>
  <c r="L16" i="11"/>
  <c r="M16" i="11"/>
  <c r="N16" i="11"/>
  <c r="O16" i="11"/>
  <c r="C16" i="11"/>
  <c r="C20" i="11" l="1"/>
  <c r="H20" i="11"/>
  <c r="I20" i="11"/>
  <c r="O20" i="11"/>
  <c r="G20" i="11"/>
  <c r="K20" i="11"/>
  <c r="L20" i="11"/>
  <c r="D20" i="11"/>
  <c r="N20" i="11"/>
  <c r="F20" i="11"/>
  <c r="J20" i="11"/>
  <c r="M20" i="11"/>
  <c r="E20" i="11"/>
  <c r="E15" i="4" l="1"/>
  <c r="E12" i="4"/>
  <c r="F11" i="4"/>
  <c r="B4" i="1"/>
  <c r="C43" i="3"/>
  <c r="D43" i="3" s="1"/>
  <c r="E43" i="3" s="1"/>
  <c r="F43" i="3" s="1"/>
  <c r="G43" i="3" s="1"/>
  <c r="C39" i="3"/>
  <c r="D39" i="3" s="1"/>
  <c r="E39" i="3" s="1"/>
  <c r="F39" i="3" s="1"/>
  <c r="G39" i="3" s="1"/>
  <c r="C31" i="3"/>
  <c r="D31" i="3" s="1"/>
  <c r="E31" i="3" s="1"/>
  <c r="F31" i="3" s="1"/>
  <c r="G31" i="3" s="1"/>
  <c r="C28" i="3"/>
  <c r="D28" i="3" s="1"/>
  <c r="E28" i="3" s="1"/>
  <c r="F28" i="3" s="1"/>
  <c r="G28" i="3" s="1"/>
  <c r="C26" i="3"/>
  <c r="D26" i="3" s="1"/>
  <c r="E26" i="3" s="1"/>
  <c r="F26" i="3" s="1"/>
  <c r="G26" i="3" s="1"/>
  <c r="C25" i="3"/>
  <c r="D25" i="3" s="1"/>
  <c r="E25" i="3" s="1"/>
  <c r="F25" i="3" s="1"/>
  <c r="G25" i="3" s="1"/>
  <c r="B47" i="3"/>
  <c r="C27" i="3"/>
  <c r="D27" i="3" s="1"/>
  <c r="E27" i="3" s="1"/>
  <c r="F27" i="3" s="1"/>
  <c r="G27" i="3" s="1"/>
  <c r="C29" i="3"/>
  <c r="D29" i="3" s="1"/>
  <c r="E29" i="3" s="1"/>
  <c r="F29" i="3" s="1"/>
  <c r="G29" i="3" s="1"/>
  <c r="C30" i="3"/>
  <c r="D30" i="3" s="1"/>
  <c r="E30" i="3" s="1"/>
  <c r="F30" i="3" s="1"/>
  <c r="G30" i="3" s="1"/>
  <c r="C32" i="3"/>
  <c r="D32" i="3" s="1"/>
  <c r="E32" i="3" s="1"/>
  <c r="F32" i="3" s="1"/>
  <c r="G32" i="3" s="1"/>
  <c r="C34" i="3"/>
  <c r="D34" i="3" s="1"/>
  <c r="E34" i="3" s="1"/>
  <c r="F34" i="3" s="1"/>
  <c r="G34" i="3" s="1"/>
  <c r="C35" i="3"/>
  <c r="D35" i="3" s="1"/>
  <c r="E35" i="3" s="1"/>
  <c r="F35" i="3" s="1"/>
  <c r="G35" i="3" s="1"/>
  <c r="C36" i="3"/>
  <c r="D36" i="3" s="1"/>
  <c r="E36" i="3" s="1"/>
  <c r="F36" i="3" s="1"/>
  <c r="G36" i="3" s="1"/>
  <c r="C37" i="3"/>
  <c r="D37" i="3" s="1"/>
  <c r="E37" i="3" s="1"/>
  <c r="F37" i="3" s="1"/>
  <c r="G37" i="3" s="1"/>
  <c r="C38" i="3"/>
  <c r="D38" i="3" s="1"/>
  <c r="E38" i="3" s="1"/>
  <c r="F38" i="3" s="1"/>
  <c r="G38" i="3" s="1"/>
  <c r="C41" i="3"/>
  <c r="D41" i="3" s="1"/>
  <c r="E41" i="3" s="1"/>
  <c r="F41" i="3" s="1"/>
  <c r="G41" i="3" s="1"/>
  <c r="C42" i="3"/>
  <c r="D42" i="3" s="1"/>
  <c r="E42" i="3" s="1"/>
  <c r="F42" i="3" s="1"/>
  <c r="G42" i="3" s="1"/>
  <c r="C44" i="3"/>
  <c r="D44" i="3" s="1"/>
  <c r="E44" i="3" s="1"/>
  <c r="F44" i="3" s="1"/>
  <c r="G44" i="3" s="1"/>
  <c r="C45" i="3"/>
  <c r="D45" i="3" s="1"/>
  <c r="E45" i="3" s="1"/>
  <c r="F45" i="3" s="1"/>
  <c r="G45" i="3" s="1"/>
  <c r="C46" i="3"/>
  <c r="D46" i="3" s="1"/>
  <c r="E46" i="3" s="1"/>
  <c r="F46" i="3" s="1"/>
  <c r="G46" i="3" s="1"/>
  <c r="C23" i="3"/>
  <c r="D23" i="3" s="1"/>
  <c r="E23" i="3" s="1"/>
  <c r="B11" i="3"/>
  <c r="C11" i="3" s="1"/>
  <c r="D11" i="3" s="1"/>
  <c r="E11" i="3" s="1"/>
  <c r="F11" i="3" s="1"/>
  <c r="G11" i="3" s="1"/>
  <c r="B12" i="3"/>
  <c r="C12" i="3" s="1"/>
  <c r="D12" i="3" s="1"/>
  <c r="E12" i="3" s="1"/>
  <c r="F12" i="3" s="1"/>
  <c r="G12" i="3" s="1"/>
  <c r="B13" i="3"/>
  <c r="C13" i="3" s="1"/>
  <c r="D13" i="3" s="1"/>
  <c r="E13" i="3" s="1"/>
  <c r="F13" i="3" s="1"/>
  <c r="G13" i="3" s="1"/>
  <c r="B10" i="3"/>
  <c r="C10" i="3" s="1"/>
  <c r="D10" i="3" s="1"/>
  <c r="E10" i="3" s="1"/>
  <c r="F10" i="3" s="1"/>
  <c r="G10" i="3" s="1"/>
  <c r="A5" i="3"/>
  <c r="A12" i="3" s="1"/>
  <c r="A18" i="3" s="1"/>
  <c r="A6" i="3"/>
  <c r="A13" i="3" s="1"/>
  <c r="A19" i="3" s="1"/>
  <c r="A4" i="3"/>
  <c r="A11" i="3" s="1"/>
  <c r="A17" i="3" s="1"/>
  <c r="A3" i="3"/>
  <c r="A10" i="3" s="1"/>
  <c r="A16" i="3" s="1"/>
  <c r="O1" i="10"/>
  <c r="P1" i="10" s="1"/>
  <c r="Q1" i="10" s="1"/>
  <c r="R1" i="10" s="1"/>
  <c r="S1" i="10" s="1"/>
  <c r="T1" i="10" s="1"/>
  <c r="U1" i="10" s="1"/>
  <c r="V1" i="10" s="1"/>
  <c r="W1" i="10" s="1"/>
  <c r="N2" i="10"/>
  <c r="O2" i="10" s="1"/>
  <c r="P2" i="10" s="1"/>
  <c r="Q2" i="10" s="1"/>
  <c r="N76" i="10"/>
  <c r="O76" i="10" s="1"/>
  <c r="P76" i="10" s="1"/>
  <c r="Q76" i="10" s="1"/>
  <c r="R76" i="10" s="1"/>
  <c r="S76" i="10" s="1"/>
  <c r="T76" i="10" s="1"/>
  <c r="U76" i="10" s="1"/>
  <c r="V76" i="10" s="1"/>
  <c r="W76" i="10" s="1"/>
  <c r="N75" i="10"/>
  <c r="O75" i="10" s="1"/>
  <c r="N74" i="10"/>
  <c r="O74" i="10" s="1"/>
  <c r="P74" i="10" s="1"/>
  <c r="Q74" i="10" s="1"/>
  <c r="R74" i="10" s="1"/>
  <c r="S74" i="10" s="1"/>
  <c r="T74" i="10" s="1"/>
  <c r="U74" i="10" s="1"/>
  <c r="V74" i="10" s="1"/>
  <c r="W74" i="10" s="1"/>
  <c r="N71" i="10"/>
  <c r="O71" i="10" s="1"/>
  <c r="P71" i="10" s="1"/>
  <c r="Q71" i="10" s="1"/>
  <c r="R71" i="10" s="1"/>
  <c r="S71" i="10" s="1"/>
  <c r="T71" i="10" s="1"/>
  <c r="U71" i="10" s="1"/>
  <c r="V71" i="10" s="1"/>
  <c r="W71" i="10" s="1"/>
  <c r="N67" i="10"/>
  <c r="O67" i="10" s="1"/>
  <c r="P67" i="10" s="1"/>
  <c r="Q67" i="10" s="1"/>
  <c r="R67" i="10" s="1"/>
  <c r="S67" i="10" s="1"/>
  <c r="T67" i="10" s="1"/>
  <c r="U67" i="10" s="1"/>
  <c r="V67" i="10" s="1"/>
  <c r="W67" i="10" s="1"/>
  <c r="N66" i="10"/>
  <c r="O66" i="10" s="1"/>
  <c r="P66" i="10" s="1"/>
  <c r="Q66" i="10" s="1"/>
  <c r="R66" i="10" s="1"/>
  <c r="S66" i="10" s="1"/>
  <c r="T66" i="10" s="1"/>
  <c r="U66" i="10" s="1"/>
  <c r="V66" i="10" s="1"/>
  <c r="W66" i="10" s="1"/>
  <c r="N65" i="10"/>
  <c r="O65" i="10" s="1"/>
  <c r="P65" i="10" s="1"/>
  <c r="Q65" i="10" s="1"/>
  <c r="R65" i="10" s="1"/>
  <c r="S65" i="10" s="1"/>
  <c r="T65" i="10" s="1"/>
  <c r="U65" i="10" s="1"/>
  <c r="V65" i="10" s="1"/>
  <c r="W65" i="10" s="1"/>
  <c r="N64" i="10"/>
  <c r="O64" i="10" s="1"/>
  <c r="P64" i="10" s="1"/>
  <c r="Q64" i="10" s="1"/>
  <c r="R64" i="10" s="1"/>
  <c r="S64" i="10" s="1"/>
  <c r="T64" i="10" s="1"/>
  <c r="U64" i="10" s="1"/>
  <c r="V64" i="10" s="1"/>
  <c r="W64" i="10" s="1"/>
  <c r="N63" i="10"/>
  <c r="O63" i="10" s="1"/>
  <c r="P63" i="10" s="1"/>
  <c r="N52" i="10"/>
  <c r="O52" i="10" s="1"/>
  <c r="P52" i="10" s="1"/>
  <c r="Q52" i="10" s="1"/>
  <c r="R52" i="10" s="1"/>
  <c r="S52" i="10" s="1"/>
  <c r="T52" i="10" s="1"/>
  <c r="U52" i="10" s="1"/>
  <c r="V52" i="10" s="1"/>
  <c r="W52" i="10" s="1"/>
  <c r="N48" i="10"/>
  <c r="O48" i="10" s="1"/>
  <c r="P48" i="10" s="1"/>
  <c r="Q48" i="10" s="1"/>
  <c r="R48" i="10" s="1"/>
  <c r="S48" i="10" s="1"/>
  <c r="T48" i="10" s="1"/>
  <c r="U48" i="10" s="1"/>
  <c r="V48" i="10" s="1"/>
  <c r="W48" i="10" s="1"/>
  <c r="N45" i="10"/>
  <c r="O45" i="10" s="1"/>
  <c r="P45" i="10" s="1"/>
  <c r="Q45" i="10" s="1"/>
  <c r="R45" i="10" s="1"/>
  <c r="S45" i="10" s="1"/>
  <c r="T45" i="10" s="1"/>
  <c r="U45" i="10" s="1"/>
  <c r="V45" i="10" s="1"/>
  <c r="W45" i="10" s="1"/>
  <c r="N42" i="10"/>
  <c r="O42" i="10" s="1"/>
  <c r="P42" i="10" s="1"/>
  <c r="Q42" i="10" s="1"/>
  <c r="R42" i="10" s="1"/>
  <c r="S42" i="10" s="1"/>
  <c r="T42" i="10" s="1"/>
  <c r="U42" i="10" s="1"/>
  <c r="V42" i="10" s="1"/>
  <c r="W42" i="10" s="1"/>
  <c r="N37" i="10"/>
  <c r="O37" i="10" s="1"/>
  <c r="P37" i="10" s="1"/>
  <c r="Q37" i="10" s="1"/>
  <c r="R37" i="10" s="1"/>
  <c r="S37" i="10" s="1"/>
  <c r="T37" i="10" s="1"/>
  <c r="U37" i="10" s="1"/>
  <c r="V37" i="10" s="1"/>
  <c r="W37" i="10" s="1"/>
  <c r="N34" i="10"/>
  <c r="O34" i="10" s="1"/>
  <c r="P34" i="10" s="1"/>
  <c r="Q34" i="10" s="1"/>
  <c r="R34" i="10" s="1"/>
  <c r="S34" i="10" s="1"/>
  <c r="T34" i="10" s="1"/>
  <c r="U34" i="10" s="1"/>
  <c r="V34" i="10" s="1"/>
  <c r="W34" i="10" s="1"/>
  <c r="N31" i="10"/>
  <c r="O31" i="10" s="1"/>
  <c r="P31" i="10" s="1"/>
  <c r="Q31" i="10" s="1"/>
  <c r="R31" i="10" s="1"/>
  <c r="S31" i="10" s="1"/>
  <c r="T31" i="10" s="1"/>
  <c r="U31" i="10" s="1"/>
  <c r="V31" i="10" s="1"/>
  <c r="W31" i="10" s="1"/>
  <c r="N25" i="10"/>
  <c r="O25" i="10" s="1"/>
  <c r="P25" i="10" s="1"/>
  <c r="Q25" i="10" s="1"/>
  <c r="R25" i="10" s="1"/>
  <c r="S25" i="10" s="1"/>
  <c r="T25" i="10" s="1"/>
  <c r="U25" i="10" s="1"/>
  <c r="V25" i="10" s="1"/>
  <c r="W25" i="10" s="1"/>
  <c r="N21" i="10"/>
  <c r="O21" i="10" s="1"/>
  <c r="P21" i="10" s="1"/>
  <c r="Q21" i="10" s="1"/>
  <c r="R21" i="10" s="1"/>
  <c r="S21" i="10" s="1"/>
  <c r="T21" i="10" s="1"/>
  <c r="U21" i="10" s="1"/>
  <c r="V21" i="10" s="1"/>
  <c r="W21" i="10" s="1"/>
  <c r="N19" i="10"/>
  <c r="O19" i="10" s="1"/>
  <c r="P19" i="10" s="1"/>
  <c r="Q19" i="10" s="1"/>
  <c r="R19" i="10" s="1"/>
  <c r="S19" i="10" s="1"/>
  <c r="T19" i="10" s="1"/>
  <c r="U19" i="10" s="1"/>
  <c r="V19" i="10" s="1"/>
  <c r="W19" i="10" s="1"/>
  <c r="N18" i="10"/>
  <c r="O18" i="10" s="1"/>
  <c r="P18" i="10" s="1"/>
  <c r="Q18" i="10" s="1"/>
  <c r="R18" i="10" s="1"/>
  <c r="S18" i="10" s="1"/>
  <c r="T18" i="10" s="1"/>
  <c r="U18" i="10" s="1"/>
  <c r="V18" i="10" s="1"/>
  <c r="W18" i="10" s="1"/>
  <c r="N17" i="10"/>
  <c r="O17" i="10" s="1"/>
  <c r="P17" i="10" s="1"/>
  <c r="Q17" i="10" s="1"/>
  <c r="R17" i="10" s="1"/>
  <c r="S17" i="10" s="1"/>
  <c r="T17" i="10" s="1"/>
  <c r="U17" i="10" s="1"/>
  <c r="V17" i="10" s="1"/>
  <c r="W17" i="10" s="1"/>
  <c r="N16" i="10"/>
  <c r="O16" i="10" s="1"/>
  <c r="P16" i="10" s="1"/>
  <c r="Q16" i="10" s="1"/>
  <c r="R16" i="10" s="1"/>
  <c r="S16" i="10" s="1"/>
  <c r="T16" i="10" s="1"/>
  <c r="U16" i="10" s="1"/>
  <c r="V16" i="10" s="1"/>
  <c r="W16" i="10" s="1"/>
  <c r="N15" i="10"/>
  <c r="O15" i="10" s="1"/>
  <c r="P15" i="10" s="1"/>
  <c r="Q15" i="10" s="1"/>
  <c r="R15" i="10" s="1"/>
  <c r="S15" i="10" s="1"/>
  <c r="T15" i="10" s="1"/>
  <c r="U15" i="10" s="1"/>
  <c r="V15" i="10" s="1"/>
  <c r="W15" i="10" s="1"/>
  <c r="N14" i="10"/>
  <c r="O14" i="10" s="1"/>
  <c r="P14" i="10" s="1"/>
  <c r="Q14" i="10" s="1"/>
  <c r="R14" i="10" s="1"/>
  <c r="S14" i="10" s="1"/>
  <c r="T14" i="10" s="1"/>
  <c r="U14" i="10" s="1"/>
  <c r="V14" i="10" s="1"/>
  <c r="W14" i="10" s="1"/>
  <c r="N13" i="10"/>
  <c r="O13" i="10" s="1"/>
  <c r="P13" i="10" s="1"/>
  <c r="Q13" i="10" s="1"/>
  <c r="R13" i="10" s="1"/>
  <c r="S13" i="10" s="1"/>
  <c r="T13" i="10" s="1"/>
  <c r="U13" i="10" s="1"/>
  <c r="V13" i="10" s="1"/>
  <c r="W13" i="10" s="1"/>
  <c r="N12" i="10"/>
  <c r="O12" i="10" s="1"/>
  <c r="P12" i="10" s="1"/>
  <c r="Q12" i="10" s="1"/>
  <c r="R12" i="10" s="1"/>
  <c r="S12" i="10" s="1"/>
  <c r="T12" i="10" s="1"/>
  <c r="U12" i="10" s="1"/>
  <c r="V12" i="10" s="1"/>
  <c r="W12" i="10" s="1"/>
  <c r="N11" i="10"/>
  <c r="O11" i="10" s="1"/>
  <c r="P11" i="10" s="1"/>
  <c r="Q11" i="10" s="1"/>
  <c r="R11" i="10" s="1"/>
  <c r="S11" i="10" s="1"/>
  <c r="T11" i="10" s="1"/>
  <c r="U11" i="10" s="1"/>
  <c r="V11" i="10" s="1"/>
  <c r="W11" i="10" s="1"/>
  <c r="N10" i="10"/>
  <c r="O10" i="10" s="1"/>
  <c r="P10" i="10" s="1"/>
  <c r="Q10" i="10" s="1"/>
  <c r="R10" i="10" s="1"/>
  <c r="S10" i="10" s="1"/>
  <c r="T10" i="10" s="1"/>
  <c r="U10" i="10" s="1"/>
  <c r="V10" i="10" s="1"/>
  <c r="W10" i="10" s="1"/>
  <c r="N9" i="10"/>
  <c r="O9" i="10" s="1"/>
  <c r="P9" i="10" s="1"/>
  <c r="Q9" i="10" s="1"/>
  <c r="R9" i="10" s="1"/>
  <c r="S9" i="10" s="1"/>
  <c r="T9" i="10" s="1"/>
  <c r="U9" i="10" s="1"/>
  <c r="V9" i="10" s="1"/>
  <c r="W9" i="10" s="1"/>
  <c r="N8" i="10"/>
  <c r="O8" i="10" s="1"/>
  <c r="P8" i="10" s="1"/>
  <c r="Q8" i="10" s="1"/>
  <c r="R8" i="10" s="1"/>
  <c r="S8" i="10" s="1"/>
  <c r="T8" i="10" s="1"/>
  <c r="U8" i="10" s="1"/>
  <c r="V8" i="10" s="1"/>
  <c r="W8" i="10" s="1"/>
  <c r="N7" i="10"/>
  <c r="O7" i="10" s="1"/>
  <c r="P7" i="10" s="1"/>
  <c r="Q7" i="10" s="1"/>
  <c r="R7" i="10" s="1"/>
  <c r="S7" i="10" s="1"/>
  <c r="T7" i="10" s="1"/>
  <c r="U7" i="10" s="1"/>
  <c r="V7" i="10" s="1"/>
  <c r="W7" i="10" s="1"/>
  <c r="N6" i="10"/>
  <c r="N5" i="10"/>
  <c r="O5" i="10" s="1"/>
  <c r="P5" i="10" s="1"/>
  <c r="Q5" i="10" s="1"/>
  <c r="R5" i="10" s="1"/>
  <c r="S5" i="10" s="1"/>
  <c r="T5" i="10" s="1"/>
  <c r="U5" i="10" s="1"/>
  <c r="V5" i="10" s="1"/>
  <c r="W5" i="10" s="1"/>
  <c r="N4" i="10"/>
  <c r="O4" i="10" s="1"/>
  <c r="N3" i="10"/>
  <c r="O3" i="10" s="1"/>
  <c r="P3" i="10" s="1"/>
  <c r="F5" i="3"/>
  <c r="D5" i="3"/>
  <c r="B5" i="3"/>
  <c r="B4" i="3"/>
  <c r="B3" i="3"/>
  <c r="C6" i="3"/>
  <c r="E5" i="3"/>
  <c r="F4" i="3"/>
  <c r="D4" i="3"/>
  <c r="D3" i="3"/>
  <c r="E6" i="3"/>
  <c r="C5" i="3"/>
  <c r="G4" i="3"/>
  <c r="C3" i="3"/>
  <c r="B6" i="3"/>
  <c r="F3" i="3"/>
  <c r="G5" i="3"/>
  <c r="E4" i="3"/>
  <c r="G3" i="3"/>
  <c r="F6" i="3"/>
  <c r="G6" i="3"/>
  <c r="C4" i="3"/>
  <c r="E3" i="3"/>
  <c r="D6" i="3"/>
  <c r="C33" i="3" l="1"/>
  <c r="D33" i="3" s="1"/>
  <c r="E33" i="3" s="1"/>
  <c r="F33" i="3" s="1"/>
  <c r="G33" i="3" s="1"/>
  <c r="C24" i="3"/>
  <c r="C40" i="3"/>
  <c r="D40" i="3" s="1"/>
  <c r="E40" i="3" s="1"/>
  <c r="F40" i="3" s="1"/>
  <c r="G40" i="3" s="1"/>
  <c r="F23" i="3"/>
  <c r="B16" i="3"/>
  <c r="B17" i="3"/>
  <c r="B18" i="3"/>
  <c r="B19" i="3"/>
  <c r="C16" i="3"/>
  <c r="C17" i="3"/>
  <c r="C18" i="3"/>
  <c r="C19" i="3"/>
  <c r="D16" i="3"/>
  <c r="D17" i="3"/>
  <c r="D18" i="3"/>
  <c r="D19" i="3"/>
  <c r="E16" i="3"/>
  <c r="E17" i="3"/>
  <c r="E18" i="3"/>
  <c r="E19" i="3"/>
  <c r="F16" i="3"/>
  <c r="F17" i="3"/>
  <c r="F18" i="3"/>
  <c r="F19" i="3"/>
  <c r="G16" i="3"/>
  <c r="G17" i="3"/>
  <c r="G18" i="3"/>
  <c r="G19" i="3"/>
  <c r="B7" i="3"/>
  <c r="C7" i="3"/>
  <c r="D7" i="3"/>
  <c r="E7" i="3"/>
  <c r="F7" i="3"/>
  <c r="G7" i="3"/>
  <c r="R2" i="10"/>
  <c r="P75" i="10"/>
  <c r="Q3" i="10"/>
  <c r="R3" i="10" s="1"/>
  <c r="S3" i="10" s="1"/>
  <c r="T3" i="10" s="1"/>
  <c r="U3" i="10" s="1"/>
  <c r="V3" i="10" s="1"/>
  <c r="W3" i="10" s="1"/>
  <c r="P4" i="10"/>
  <c r="Q4" i="10" s="1"/>
  <c r="R4" i="10" s="1"/>
  <c r="S4" i="10" s="1"/>
  <c r="T4" i="10" s="1"/>
  <c r="U4" i="10" s="1"/>
  <c r="V4" i="10" s="1"/>
  <c r="W4" i="10" s="1"/>
  <c r="O6" i="10"/>
  <c r="P6" i="10" s="1"/>
  <c r="Q6" i="10" s="1"/>
  <c r="R6" i="10" s="1"/>
  <c r="S6" i="10" s="1"/>
  <c r="T6" i="10" s="1"/>
  <c r="U6" i="10" s="1"/>
  <c r="V6" i="10" s="1"/>
  <c r="W6" i="10" s="1"/>
  <c r="Q63" i="10"/>
  <c r="C47" i="3" l="1"/>
  <c r="D24" i="3"/>
  <c r="G23" i="3"/>
  <c r="B20" i="3"/>
  <c r="B51" i="3" s="1"/>
  <c r="G20" i="3"/>
  <c r="C20" i="3"/>
  <c r="E20" i="3"/>
  <c r="F20" i="3"/>
  <c r="D20" i="3"/>
  <c r="R63" i="10"/>
  <c r="S2" i="10"/>
  <c r="Q75" i="10"/>
  <c r="E24" i="3" l="1"/>
  <c r="D47" i="3"/>
  <c r="S63" i="10"/>
  <c r="R75" i="10"/>
  <c r="T2" i="10"/>
  <c r="F24" i="3" l="1"/>
  <c r="E47" i="3"/>
  <c r="U2" i="10"/>
  <c r="S75" i="10"/>
  <c r="T63" i="10"/>
  <c r="G24" i="3" l="1"/>
  <c r="G47" i="3" s="1"/>
  <c r="F47" i="3"/>
  <c r="U63" i="10"/>
  <c r="T75" i="10"/>
  <c r="V2" i="10"/>
  <c r="W2" i="10" l="1"/>
  <c r="U75" i="10"/>
  <c r="V63" i="10"/>
  <c r="W63" i="10" l="1"/>
  <c r="V75" i="10"/>
  <c r="W75" i="10" l="1"/>
  <c r="M13" i="6" l="1"/>
  <c r="M14" i="6"/>
  <c r="D14" i="6"/>
  <c r="N14" i="6" s="1"/>
  <c r="D13" i="6"/>
  <c r="E13" i="6" s="1"/>
  <c r="B61" i="3"/>
  <c r="C61" i="3" s="1"/>
  <c r="D61" i="3" s="1"/>
  <c r="E61" i="3" s="1"/>
  <c r="B49" i="3"/>
  <c r="C49" i="3" s="1"/>
  <c r="D49" i="3" s="1"/>
  <c r="E49" i="3" s="1"/>
  <c r="F49" i="3" s="1"/>
  <c r="G49" i="3" s="1"/>
  <c r="K34" i="6"/>
  <c r="K33" i="6"/>
  <c r="N32" i="6"/>
  <c r="O32" i="6"/>
  <c r="P32" i="6"/>
  <c r="Q32" i="6"/>
  <c r="R32" i="6"/>
  <c r="S32" i="6"/>
  <c r="K32" i="6"/>
  <c r="C32" i="6"/>
  <c r="M32" i="6" s="1"/>
  <c r="G58" i="3"/>
  <c r="F58" i="3"/>
  <c r="B15" i="6"/>
  <c r="B70" i="3"/>
  <c r="B71" i="3" s="1"/>
  <c r="C27" i="6"/>
  <c r="F13" i="6" l="1"/>
  <c r="O13" i="6"/>
  <c r="N13" i="6"/>
  <c r="E14" i="6"/>
  <c r="F61" i="3"/>
  <c r="G61" i="3" s="1"/>
  <c r="E51" i="3"/>
  <c r="D51" i="3"/>
  <c r="C51" i="3"/>
  <c r="C70" i="3"/>
  <c r="C71" i="3" s="1"/>
  <c r="K28" i="6"/>
  <c r="K29" i="6"/>
  <c r="K37" i="6"/>
  <c r="N37" i="6"/>
  <c r="O37" i="6"/>
  <c r="P37" i="6"/>
  <c r="Q37" i="6"/>
  <c r="R37" i="6"/>
  <c r="S37" i="6"/>
  <c r="N27" i="6"/>
  <c r="O27" i="6"/>
  <c r="P27" i="6"/>
  <c r="Q27" i="6"/>
  <c r="R27" i="6"/>
  <c r="S27" i="6"/>
  <c r="K27" i="6"/>
  <c r="M7" i="6"/>
  <c r="N7" i="6"/>
  <c r="O7" i="6"/>
  <c r="P7" i="6"/>
  <c r="Q7" i="6"/>
  <c r="R7" i="6"/>
  <c r="S7" i="6"/>
  <c r="M12" i="6"/>
  <c r="N12" i="6"/>
  <c r="O12" i="6"/>
  <c r="P12" i="6"/>
  <c r="Q12" i="6"/>
  <c r="R12" i="6"/>
  <c r="S12" i="6"/>
  <c r="M17" i="6"/>
  <c r="N17" i="6"/>
  <c r="O17" i="6"/>
  <c r="P17" i="6"/>
  <c r="Q17" i="6"/>
  <c r="R17" i="6"/>
  <c r="S17" i="6"/>
  <c r="N22" i="6"/>
  <c r="O22" i="6"/>
  <c r="P22" i="6"/>
  <c r="Q22" i="6"/>
  <c r="R22" i="6"/>
  <c r="S22" i="6"/>
  <c r="N2" i="6"/>
  <c r="X2" i="6" s="1"/>
  <c r="O2" i="6"/>
  <c r="Y2" i="6" s="1"/>
  <c r="P2" i="6"/>
  <c r="Z2" i="6" s="1"/>
  <c r="Q2" i="6"/>
  <c r="AA2" i="6" s="1"/>
  <c r="R2" i="6"/>
  <c r="AB2" i="6" s="1"/>
  <c r="S2" i="6"/>
  <c r="AC2" i="6" s="1"/>
  <c r="M2" i="6"/>
  <c r="L7" i="6"/>
  <c r="L12" i="6"/>
  <c r="L15" i="6"/>
  <c r="L2" i="6"/>
  <c r="K7" i="6"/>
  <c r="K12" i="6"/>
  <c r="K17" i="6"/>
  <c r="K22" i="6"/>
  <c r="K23" i="6"/>
  <c r="K24" i="6"/>
  <c r="K2" i="6"/>
  <c r="M27" i="6"/>
  <c r="C22" i="6"/>
  <c r="M22" i="6" s="1"/>
  <c r="A15" i="6"/>
  <c r="K15" i="6" s="1"/>
  <c r="B4" i="6"/>
  <c r="A5" i="6"/>
  <c r="A4" i="6"/>
  <c r="A3" i="6"/>
  <c r="G13" i="6" l="1"/>
  <c r="P13" i="6"/>
  <c r="A8" i="6"/>
  <c r="K8" i="6" s="1"/>
  <c r="A13" i="6"/>
  <c r="K13" i="6" s="1"/>
  <c r="A9" i="6"/>
  <c r="K9" i="6" s="1"/>
  <c r="A14" i="6"/>
  <c r="K14" i="6" s="1"/>
  <c r="O14" i="6"/>
  <c r="F14" i="6"/>
  <c r="G51" i="3"/>
  <c r="F51" i="3"/>
  <c r="L4" i="6"/>
  <c r="A10" i="6"/>
  <c r="A30" i="6"/>
  <c r="K30" i="6" s="1"/>
  <c r="A25" i="6"/>
  <c r="K25" i="6" s="1"/>
  <c r="D70" i="3"/>
  <c r="D71" i="3" s="1"/>
  <c r="K5" i="6"/>
  <c r="K4" i="6"/>
  <c r="K3" i="6"/>
  <c r="A18" i="6"/>
  <c r="A19" i="6"/>
  <c r="A20" i="6"/>
  <c r="B9" i="6"/>
  <c r="L9" i="6" s="1"/>
  <c r="H13" i="6" l="1"/>
  <c r="Q13" i="6"/>
  <c r="G14" i="6"/>
  <c r="P14" i="6"/>
  <c r="K10" i="6"/>
  <c r="A35" i="6"/>
  <c r="K35" i="6" s="1"/>
  <c r="E70" i="3"/>
  <c r="E71" i="3" s="1"/>
  <c r="A40" i="6"/>
  <c r="K20" i="6"/>
  <c r="A39" i="6"/>
  <c r="K19" i="6"/>
  <c r="A38" i="6"/>
  <c r="K18" i="6"/>
  <c r="R13" i="6" l="1"/>
  <c r="I13" i="6"/>
  <c r="S13" i="6" s="1"/>
  <c r="H14" i="6"/>
  <c r="Q14" i="6"/>
  <c r="K38" i="6"/>
  <c r="A44" i="6"/>
  <c r="A47" i="6" s="1"/>
  <c r="K39" i="6"/>
  <c r="A45" i="6"/>
  <c r="A48" i="6" s="1"/>
  <c r="A51" i="6" s="1"/>
  <c r="A54" i="6" s="1"/>
  <c r="K40" i="6"/>
  <c r="A46" i="6"/>
  <c r="A49" i="6" s="1"/>
  <c r="A52" i="6" s="1"/>
  <c r="A55" i="6" s="1"/>
  <c r="A58" i="6" s="1"/>
  <c r="A61" i="6" s="1"/>
  <c r="F70" i="3"/>
  <c r="F71" i="3" s="1"/>
  <c r="C4" i="4"/>
  <c r="C5" i="4"/>
  <c r="E60" i="3"/>
  <c r="D60" i="3"/>
  <c r="B63" i="3"/>
  <c r="C52" i="3"/>
  <c r="B52" i="3"/>
  <c r="B9" i="1"/>
  <c r="B3" i="4" s="1"/>
  <c r="C3" i="4" s="1"/>
  <c r="C4" i="1"/>
  <c r="C5" i="1"/>
  <c r="C6" i="1"/>
  <c r="C3" i="1"/>
  <c r="I14" i="6" l="1"/>
  <c r="S14" i="6" s="1"/>
  <c r="R14" i="6"/>
  <c r="A50" i="6"/>
  <c r="A53" i="6" s="1"/>
  <c r="A56" i="6" s="1"/>
  <c r="A57" i="6"/>
  <c r="A60" i="6"/>
  <c r="G70" i="3"/>
  <c r="G71" i="3" s="1"/>
  <c r="C9" i="1"/>
  <c r="B7" i="4"/>
  <c r="B9" i="4" s="1"/>
  <c r="C63" i="3"/>
  <c r="D52" i="3" s="1"/>
  <c r="A59" i="6" l="1"/>
  <c r="B8" i="4"/>
  <c r="C9" i="4" s="1"/>
  <c r="B67" i="3"/>
  <c r="B75" i="3"/>
  <c r="D63" i="3"/>
  <c r="E52" i="3" s="1"/>
  <c r="C7" i="4"/>
  <c r="B11" i="4" l="1"/>
  <c r="G75" i="3"/>
  <c r="B74" i="3"/>
  <c r="D75" i="3"/>
  <c r="D67" i="3"/>
  <c r="G67" i="3"/>
  <c r="C75" i="3"/>
  <c r="C67" i="3"/>
  <c r="F75" i="3"/>
  <c r="F67" i="3"/>
  <c r="E75" i="3"/>
  <c r="E67" i="3"/>
  <c r="E74" i="3" s="1"/>
  <c r="E63" i="3"/>
  <c r="F63" i="3" s="1"/>
  <c r="B13" i="4" l="1"/>
  <c r="B12" i="4"/>
  <c r="B14" i="4"/>
  <c r="D74" i="3"/>
  <c r="F52" i="3"/>
  <c r="G74" i="3"/>
  <c r="F74" i="3"/>
  <c r="C74" i="3"/>
  <c r="C15" i="6"/>
  <c r="B62" i="3"/>
  <c r="C5" i="6"/>
  <c r="C12" i="4"/>
  <c r="G52" i="3"/>
  <c r="G63" i="3"/>
  <c r="C20" i="6" l="1"/>
  <c r="C25" i="6" s="1"/>
  <c r="C30" i="6" s="1"/>
  <c r="C35" i="6" s="1"/>
  <c r="M35" i="6" s="1"/>
  <c r="M15" i="6"/>
  <c r="D15" i="6"/>
  <c r="C4" i="6"/>
  <c r="C19" i="6" s="1"/>
  <c r="C13" i="4"/>
  <c r="M5" i="6"/>
  <c r="C10" i="6"/>
  <c r="B53" i="3"/>
  <c r="B55" i="3" s="1"/>
  <c r="C62" i="3"/>
  <c r="B5" i="6"/>
  <c r="B3" i="6"/>
  <c r="C3" i="6" l="1"/>
  <c r="C18" i="6" s="1"/>
  <c r="C14" i="4"/>
  <c r="E15" i="6"/>
  <c r="F15" i="6" s="1"/>
  <c r="G15" i="6" s="1"/>
  <c r="H15" i="6" s="1"/>
  <c r="M25" i="6"/>
  <c r="C55" i="6"/>
  <c r="C52" i="6"/>
  <c r="C46" i="6"/>
  <c r="C49" i="6"/>
  <c r="D62" i="3"/>
  <c r="C53" i="3"/>
  <c r="C55" i="3" s="1"/>
  <c r="M30" i="6"/>
  <c r="M10" i="6"/>
  <c r="N15" i="6"/>
  <c r="L3" i="6"/>
  <c r="B8" i="6"/>
  <c r="L8" i="6" s="1"/>
  <c r="M20" i="6"/>
  <c r="W3" i="6" s="1"/>
  <c r="B10" i="6"/>
  <c r="L10" i="6" s="1"/>
  <c r="L5" i="6"/>
  <c r="C24" i="6"/>
  <c r="M4" i="6"/>
  <c r="C9" i="6"/>
  <c r="M24" i="6" l="1"/>
  <c r="C48" i="6"/>
  <c r="C54" i="6"/>
  <c r="C45" i="6"/>
  <c r="C51" i="6"/>
  <c r="I15" i="6"/>
  <c r="C23" i="6"/>
  <c r="M3" i="6"/>
  <c r="C8" i="6"/>
  <c r="B56" i="3"/>
  <c r="B64" i="3" s="1"/>
  <c r="M19" i="6"/>
  <c r="C29" i="6"/>
  <c r="M9" i="6"/>
  <c r="O15" i="6"/>
  <c r="E62" i="3"/>
  <c r="D53" i="3"/>
  <c r="D55" i="3" s="1"/>
  <c r="B65" i="3" l="1"/>
  <c r="B68" i="3" s="1"/>
  <c r="M29" i="6"/>
  <c r="C34" i="6"/>
  <c r="M34" i="6" s="1"/>
  <c r="C57" i="6"/>
  <c r="M23" i="6"/>
  <c r="C47" i="6"/>
  <c r="C53" i="6"/>
  <c r="C44" i="6"/>
  <c r="C50" i="6"/>
  <c r="B57" i="3"/>
  <c r="P15" i="6"/>
  <c r="M18" i="6"/>
  <c r="F62" i="3"/>
  <c r="G62" i="3" s="1"/>
  <c r="E53" i="3"/>
  <c r="E55" i="3" s="1"/>
  <c r="C56" i="3"/>
  <c r="C64" i="3" s="1"/>
  <c r="M8" i="6"/>
  <c r="C28" i="6"/>
  <c r="C65" i="3" l="1"/>
  <c r="C68" i="3" s="1"/>
  <c r="D3" i="6"/>
  <c r="D8" i="6" s="1"/>
  <c r="N8" i="6" s="1"/>
  <c r="D5" i="6"/>
  <c r="D20" i="6" s="1"/>
  <c r="B76" i="3"/>
  <c r="D4" i="6"/>
  <c r="M28" i="6"/>
  <c r="C33" i="6"/>
  <c r="M33" i="6" s="1"/>
  <c r="C60" i="6"/>
  <c r="C58" i="6"/>
  <c r="C56" i="6"/>
  <c r="C57" i="3"/>
  <c r="F53" i="3"/>
  <c r="F55" i="3" s="1"/>
  <c r="G53" i="3"/>
  <c r="G55" i="3" s="1"/>
  <c r="D56" i="3"/>
  <c r="C76" i="3" l="1"/>
  <c r="E5" i="6"/>
  <c r="E20" i="6" s="1"/>
  <c r="E25" i="6" s="1"/>
  <c r="E3" i="6"/>
  <c r="E18" i="6" s="1"/>
  <c r="E4" i="6"/>
  <c r="E19" i="6" s="1"/>
  <c r="E48" i="6" s="1"/>
  <c r="J48" i="6" s="1"/>
  <c r="E34" i="6" s="1"/>
  <c r="O34" i="6" s="1"/>
  <c r="N3" i="6"/>
  <c r="D19" i="6"/>
  <c r="D24" i="6" s="1"/>
  <c r="D18" i="6"/>
  <c r="D23" i="6" s="1"/>
  <c r="D25" i="6"/>
  <c r="D64" i="3"/>
  <c r="D65" i="3" s="1"/>
  <c r="D68" i="3" s="1"/>
  <c r="D9" i="6"/>
  <c r="N5" i="6"/>
  <c r="D10" i="6"/>
  <c r="N10" i="6" s="1"/>
  <c r="N4" i="6"/>
  <c r="C59" i="6"/>
  <c r="C61" i="6"/>
  <c r="D40" i="6"/>
  <c r="N40" i="6" s="1"/>
  <c r="X6" i="6" s="1"/>
  <c r="N20" i="6"/>
  <c r="X3" i="6" s="1"/>
  <c r="X4" i="6" s="1"/>
  <c r="S15" i="6"/>
  <c r="D57" i="3"/>
  <c r="E56" i="3"/>
  <c r="Q15" i="6"/>
  <c r="R15" i="6"/>
  <c r="D45" i="6" l="1"/>
  <c r="J45" i="6" s="1"/>
  <c r="D34" i="6" s="1"/>
  <c r="N34" i="6" s="1"/>
  <c r="O5" i="6"/>
  <c r="E49" i="6"/>
  <c r="J49" i="6" s="1"/>
  <c r="E35" i="6" s="1"/>
  <c r="O35" i="6" s="1"/>
  <c r="Y5" i="6" s="1"/>
  <c r="O19" i="6"/>
  <c r="N19" i="6"/>
  <c r="E8" i="6"/>
  <c r="O8" i="6" s="1"/>
  <c r="E39" i="6"/>
  <c r="O39" i="6" s="1"/>
  <c r="O4" i="6"/>
  <c r="E24" i="6"/>
  <c r="O3" i="6"/>
  <c r="E9" i="6"/>
  <c r="O9" i="6" s="1"/>
  <c r="D38" i="6"/>
  <c r="N38" i="6" s="1"/>
  <c r="N18" i="6"/>
  <c r="D44" i="6"/>
  <c r="J44" i="6" s="1"/>
  <c r="D33" i="6" s="1"/>
  <c r="N33" i="6" s="1"/>
  <c r="D39" i="6"/>
  <c r="N39" i="6" s="1"/>
  <c r="E10" i="6"/>
  <c r="O10" i="6" s="1"/>
  <c r="D28" i="6"/>
  <c r="N28" i="6" s="1"/>
  <c r="N23" i="6"/>
  <c r="N9" i="6"/>
  <c r="D46" i="6"/>
  <c r="J46" i="6" s="1"/>
  <c r="D35" i="6" s="1"/>
  <c r="N35" i="6" s="1"/>
  <c r="X5" i="6" s="1"/>
  <c r="D76" i="3"/>
  <c r="F4" i="6"/>
  <c r="P4" i="6" s="1"/>
  <c r="F3" i="6"/>
  <c r="F5" i="6"/>
  <c r="F20" i="6" s="1"/>
  <c r="F25" i="6" s="1"/>
  <c r="E65" i="3"/>
  <c r="E68" i="3" s="1"/>
  <c r="E76" i="3" s="1"/>
  <c r="E64" i="3"/>
  <c r="E23" i="6"/>
  <c r="O23" i="6" s="1"/>
  <c r="E47" i="6"/>
  <c r="E40" i="6"/>
  <c r="O40" i="6" s="1"/>
  <c r="Y6" i="6" s="1"/>
  <c r="O20" i="6"/>
  <c r="Y3" i="6" s="1"/>
  <c r="Y4" i="6" s="1"/>
  <c r="O18" i="6"/>
  <c r="E38" i="6"/>
  <c r="O38" i="6" s="1"/>
  <c r="D29" i="6"/>
  <c r="N29" i="6" s="1"/>
  <c r="N24" i="6"/>
  <c r="D30" i="6"/>
  <c r="N30" i="6" s="1"/>
  <c r="N25" i="6"/>
  <c r="E57" i="3"/>
  <c r="G56" i="3"/>
  <c r="G64" i="3" s="1"/>
  <c r="F56" i="3"/>
  <c r="F9" i="6" l="1"/>
  <c r="P9" i="6" s="1"/>
  <c r="F19" i="6"/>
  <c r="P19" i="6" s="1"/>
  <c r="F18" i="6"/>
  <c r="F23" i="6" s="1"/>
  <c r="J47" i="6"/>
  <c r="E33" i="6" s="1"/>
  <c r="O33" i="6" s="1"/>
  <c r="G3" i="6"/>
  <c r="F10" i="6"/>
  <c r="P10" i="6" s="1"/>
  <c r="G5" i="6"/>
  <c r="G20" i="6" s="1"/>
  <c r="G25" i="6" s="1"/>
  <c r="G4" i="6"/>
  <c r="F52" i="6"/>
  <c r="J52" i="6" s="1"/>
  <c r="F35" i="6" s="1"/>
  <c r="P35" i="6" s="1"/>
  <c r="Z5" i="6" s="1"/>
  <c r="P5" i="6"/>
  <c r="F8" i="6"/>
  <c r="P3" i="6"/>
  <c r="F65" i="3"/>
  <c r="G65" i="3" s="1"/>
  <c r="G68" i="3" s="1"/>
  <c r="G76" i="3" s="1"/>
  <c r="F64" i="3"/>
  <c r="G57" i="3"/>
  <c r="E28" i="6"/>
  <c r="O28" i="6" s="1"/>
  <c r="E30" i="6"/>
  <c r="O30" i="6" s="1"/>
  <c r="O25" i="6"/>
  <c r="E29" i="6"/>
  <c r="O29" i="6" s="1"/>
  <c r="O24" i="6"/>
  <c r="F40" i="6"/>
  <c r="P40" i="6" s="1"/>
  <c r="Z6" i="6" s="1"/>
  <c r="P20" i="6"/>
  <c r="Z3" i="6" s="1"/>
  <c r="Z4" i="6" s="1"/>
  <c r="F57" i="3"/>
  <c r="F38" i="6" l="1"/>
  <c r="P38" i="6" s="1"/>
  <c r="P18" i="6"/>
  <c r="G18" i="6"/>
  <c r="G23" i="6" s="1"/>
  <c r="G19" i="6"/>
  <c r="G54" i="6" s="1"/>
  <c r="J54" i="6" s="1"/>
  <c r="G34" i="6" s="1"/>
  <c r="Q34" i="6" s="1"/>
  <c r="F24" i="6"/>
  <c r="P24" i="6" s="1"/>
  <c r="F51" i="6"/>
  <c r="J51" i="6" s="1"/>
  <c r="F34" i="6" s="1"/>
  <c r="P34" i="6" s="1"/>
  <c r="F50" i="6"/>
  <c r="J50" i="6" s="1"/>
  <c r="F33" i="6" s="1"/>
  <c r="P33" i="6" s="1"/>
  <c r="F39" i="6"/>
  <c r="P39" i="6" s="1"/>
  <c r="Q3" i="6"/>
  <c r="G55" i="6"/>
  <c r="J55" i="6" s="1"/>
  <c r="G35" i="6" s="1"/>
  <c r="Q35" i="6" s="1"/>
  <c r="AA5" i="6" s="1"/>
  <c r="G8" i="6"/>
  <c r="Q8" i="6" s="1"/>
  <c r="G10" i="6"/>
  <c r="Q10" i="6" s="1"/>
  <c r="Q5" i="6"/>
  <c r="Q4" i="6"/>
  <c r="P8" i="6"/>
  <c r="G9" i="6"/>
  <c r="Q9" i="6" s="1"/>
  <c r="F68" i="3"/>
  <c r="F76" i="3" s="1"/>
  <c r="I3" i="6"/>
  <c r="I4" i="6"/>
  <c r="I5" i="6"/>
  <c r="I20" i="6" s="1"/>
  <c r="G40" i="6"/>
  <c r="Q40" i="6" s="1"/>
  <c r="AA6" i="6" s="1"/>
  <c r="Q20" i="6"/>
  <c r="AA3" i="6" s="1"/>
  <c r="AA4" i="6" s="1"/>
  <c r="F30" i="6"/>
  <c r="P30" i="6" s="1"/>
  <c r="P25" i="6"/>
  <c r="P23" i="6"/>
  <c r="F28" i="6"/>
  <c r="P28" i="6" s="1"/>
  <c r="F29" i="6" l="1"/>
  <c r="P29" i="6" s="1"/>
  <c r="Q19" i="6"/>
  <c r="G39" i="6"/>
  <c r="Q39" i="6" s="1"/>
  <c r="G38" i="6"/>
  <c r="Q38" i="6" s="1"/>
  <c r="Q18" i="6"/>
  <c r="I18" i="6"/>
  <c r="I59" i="6" s="1"/>
  <c r="J59" i="6" s="1"/>
  <c r="I33" i="6" s="1"/>
  <c r="S33" i="6" s="1"/>
  <c r="I19" i="6"/>
  <c r="I60" i="6" s="1"/>
  <c r="J60" i="6" s="1"/>
  <c r="I34" i="6" s="1"/>
  <c r="S34" i="6" s="1"/>
  <c r="G24" i="6"/>
  <c r="Q24" i="6" s="1"/>
  <c r="G53" i="6"/>
  <c r="J53" i="6" s="1"/>
  <c r="G33" i="6" s="1"/>
  <c r="Q33" i="6" s="1"/>
  <c r="H5" i="6"/>
  <c r="H20" i="6" s="1"/>
  <c r="I25" i="6" s="1"/>
  <c r="H4" i="6"/>
  <c r="H3" i="6"/>
  <c r="I61" i="6"/>
  <c r="J61" i="6" s="1"/>
  <c r="I35" i="6" s="1"/>
  <c r="S35" i="6" s="1"/>
  <c r="AC5" i="6" s="1"/>
  <c r="S4" i="6"/>
  <c r="S3" i="6"/>
  <c r="G30" i="6"/>
  <c r="Q30" i="6" s="1"/>
  <c r="Q25" i="6"/>
  <c r="G28" i="6"/>
  <c r="Q28" i="6" s="1"/>
  <c r="Q23" i="6"/>
  <c r="S5" i="6"/>
  <c r="G29" i="6" l="1"/>
  <c r="Q29" i="6" s="1"/>
  <c r="H10" i="6"/>
  <c r="R10" i="6" s="1"/>
  <c r="R5" i="6"/>
  <c r="H58" i="6"/>
  <c r="J58" i="6" s="1"/>
  <c r="H35" i="6" s="1"/>
  <c r="R35" i="6" s="1"/>
  <c r="AB5" i="6" s="1"/>
  <c r="H19" i="6"/>
  <c r="H24" i="6" s="1"/>
  <c r="H25" i="6"/>
  <c r="H8" i="6"/>
  <c r="R8" i="6" s="1"/>
  <c r="H18" i="6"/>
  <c r="H23" i="6" s="1"/>
  <c r="H28" i="6" s="1"/>
  <c r="R28" i="6" s="1"/>
  <c r="H9" i="6"/>
  <c r="I9" i="6" s="1"/>
  <c r="S9" i="6" s="1"/>
  <c r="R4" i="6"/>
  <c r="R3" i="6"/>
  <c r="S20" i="6"/>
  <c r="AC3" i="6" s="1"/>
  <c r="I40" i="6"/>
  <c r="S40" i="6" s="1"/>
  <c r="AC6" i="6" s="1"/>
  <c r="I38" i="6"/>
  <c r="S38" i="6" s="1"/>
  <c r="S18" i="6"/>
  <c r="I39" i="6"/>
  <c r="S39" i="6" s="1"/>
  <c r="S19" i="6"/>
  <c r="H40" i="6"/>
  <c r="R40" i="6" s="1"/>
  <c r="AB6" i="6" s="1"/>
  <c r="R20" i="6"/>
  <c r="AB3" i="6" s="1"/>
  <c r="AB4" i="6" s="1"/>
  <c r="I10" i="6" l="1"/>
  <c r="S10" i="6" s="1"/>
  <c r="H39" i="6"/>
  <c r="R39" i="6" s="1"/>
  <c r="AC4" i="6"/>
  <c r="R19" i="6"/>
  <c r="I8" i="6"/>
  <c r="S8" i="6" s="1"/>
  <c r="I24" i="6"/>
  <c r="S24" i="6" s="1"/>
  <c r="R18" i="6"/>
  <c r="H56" i="6"/>
  <c r="J56" i="6" s="1"/>
  <c r="H33" i="6" s="1"/>
  <c r="R33" i="6" s="1"/>
  <c r="I23" i="6"/>
  <c r="I28" i="6" s="1"/>
  <c r="S28" i="6" s="1"/>
  <c r="H38" i="6"/>
  <c r="R38" i="6" s="1"/>
  <c r="R9" i="6"/>
  <c r="H57" i="6"/>
  <c r="J57" i="6" s="1"/>
  <c r="H34" i="6" s="1"/>
  <c r="R34" i="6" s="1"/>
  <c r="R23" i="6"/>
  <c r="H29" i="6"/>
  <c r="R29" i="6" s="1"/>
  <c r="R24" i="6"/>
  <c r="I29" i="6"/>
  <c r="S29" i="6" s="1"/>
  <c r="H30" i="6"/>
  <c r="R30" i="6" s="1"/>
  <c r="R25" i="6"/>
  <c r="S23" i="6" l="1"/>
  <c r="I30" i="6"/>
  <c r="S30" i="6" s="1"/>
  <c r="S25" i="6"/>
</calcChain>
</file>

<file path=xl/sharedStrings.xml><?xml version="1.0" encoding="utf-8"?>
<sst xmlns="http://schemas.openxmlformats.org/spreadsheetml/2006/main" count="656" uniqueCount="305">
  <si>
    <t>PARAMETERS &amp; ASSUMPTIONS</t>
  </si>
  <si>
    <t>EUR/R exchange rate</t>
  </si>
  <si>
    <t>inflation</t>
  </si>
  <si>
    <t>corporate tax rate</t>
  </si>
  <si>
    <t>EV (Ebitda multiple)</t>
  </si>
  <si>
    <t>CAPITAL EXPENDITURE</t>
  </si>
  <si>
    <t>CAPEX OVERVIEW</t>
  </si>
  <si>
    <t>R (*1000)</t>
  </si>
  <si>
    <t>buffer (general/ Busdev/ Transition cost)</t>
  </si>
  <si>
    <t>TOTAL</t>
  </si>
  <si>
    <t>EBITDA</t>
  </si>
  <si>
    <t>bank loan interest</t>
  </si>
  <si>
    <t>investor loan interest</t>
  </si>
  <si>
    <t>Profit before TAX</t>
  </si>
  <si>
    <t>tax</t>
  </si>
  <si>
    <t>NET PROFIT</t>
  </si>
  <si>
    <t>vendor loan repayment</t>
  </si>
  <si>
    <t>investor loan repayment</t>
  </si>
  <si>
    <t>bank loan repayment</t>
  </si>
  <si>
    <t>EOY vendor loan balance</t>
  </si>
  <si>
    <t>EOY investor loan balance</t>
  </si>
  <si>
    <t>EOY bank loan balance</t>
  </si>
  <si>
    <t>Enterprise value (EBITDA multiple)</t>
  </si>
  <si>
    <t>CAPITAL STRUCTURE</t>
  </si>
  <si>
    <t>(R*1000)</t>
  </si>
  <si>
    <t>E(*1000)</t>
  </si>
  <si>
    <t>interest</t>
  </si>
  <si>
    <t>repayment</t>
  </si>
  <si>
    <t>Total funding required</t>
  </si>
  <si>
    <t>Bank loan</t>
  </si>
  <si>
    <t>MBI</t>
  </si>
  <si>
    <t>BFC</t>
  </si>
  <si>
    <t>Equity Value</t>
  </si>
  <si>
    <t>Stake</t>
  </si>
  <si>
    <t>Y1</t>
  </si>
  <si>
    <t>Y2</t>
  </si>
  <si>
    <t>Y3</t>
  </si>
  <si>
    <t>Y4</t>
  </si>
  <si>
    <t>Y5</t>
  </si>
  <si>
    <t>Y6</t>
  </si>
  <si>
    <t>Equity appreciation</t>
  </si>
  <si>
    <t>Interest</t>
  </si>
  <si>
    <t>Annual yield</t>
  </si>
  <si>
    <t>Annual ROIC</t>
  </si>
  <si>
    <t>Money multiple</t>
  </si>
  <si>
    <t>Net Asset Value</t>
  </si>
  <si>
    <t>Equity Value (minus cash &amp; debt)</t>
  </si>
  <si>
    <t>amount</t>
  </si>
  <si>
    <t>INVESTOR RETURNS -  (SAR*1000)</t>
  </si>
  <si>
    <t>INVESTOR RETURNS -  (EUR*1000)</t>
  </si>
  <si>
    <t> </t>
  </si>
  <si>
    <t>Investor club interest</t>
  </si>
  <si>
    <t>cash position (Y1 starts with capex buffer)</t>
  </si>
  <si>
    <t>Enterprise value (EBITDA multiple/ NAV floor)</t>
  </si>
  <si>
    <t>PROFIT &amp; LOSS,  CASHFLOW &amp; ENTERPRISE VALUE (*1000)</t>
  </si>
  <si>
    <t>Loan Value</t>
  </si>
  <si>
    <t>IRR</t>
  </si>
  <si>
    <t>Investment amount</t>
  </si>
  <si>
    <t>2026</t>
  </si>
  <si>
    <t>2027</t>
  </si>
  <si>
    <t>2028</t>
  </si>
  <si>
    <t>2029</t>
  </si>
  <si>
    <t>2030</t>
  </si>
  <si>
    <t>2031</t>
  </si>
  <si>
    <t xml:space="preserve"> (EUR * 1000)</t>
  </si>
  <si>
    <t>Net purchase price</t>
  </si>
  <si>
    <t>Base price/ KG (1.2% USK/ 32%TKR)</t>
  </si>
  <si>
    <t>INCOME</t>
  </si>
  <si>
    <t>COST</t>
  </si>
  <si>
    <t>OPEX/ Ha</t>
  </si>
  <si>
    <t>Amount of planted HA</t>
  </si>
  <si>
    <t>Manager salary</t>
  </si>
  <si>
    <t>1y interest free vendor loan</t>
  </si>
  <si>
    <t>transaction, commissions &amp; financing cost</t>
  </si>
  <si>
    <t>Cash Mutation</t>
  </si>
  <si>
    <t>Initial</t>
  </si>
  <si>
    <t>Total Value</t>
  </si>
  <si>
    <t>Position value (loan &amp; equity)</t>
  </si>
  <si>
    <t>YoY performance</t>
  </si>
  <si>
    <t>INVESTOR PERFORMANCE</t>
  </si>
  <si>
    <t>Micros</t>
  </si>
  <si>
    <t>8.00 X 4.00</t>
  </si>
  <si>
    <t>695 Beaumont</t>
  </si>
  <si>
    <t>DM22</t>
  </si>
  <si>
    <t>DM21</t>
  </si>
  <si>
    <t>DM20</t>
  </si>
  <si>
    <t>DM19</t>
  </si>
  <si>
    <t>7.00 X 3.00</t>
  </si>
  <si>
    <t>DM18</t>
  </si>
  <si>
    <t>DM17</t>
  </si>
  <si>
    <t>DM16</t>
  </si>
  <si>
    <t>DM15</t>
  </si>
  <si>
    <t>DM14</t>
  </si>
  <si>
    <t>DM13</t>
  </si>
  <si>
    <t>DM12</t>
  </si>
  <si>
    <t>DM11</t>
  </si>
  <si>
    <t>DM10</t>
  </si>
  <si>
    <t>Plaas 2 nr 9</t>
  </si>
  <si>
    <t>Plaas 2 nr 8</t>
  </si>
  <si>
    <t>Plaas 2 nr 7</t>
  </si>
  <si>
    <t>Plaas 2 nr 6</t>
  </si>
  <si>
    <t>Plaas 2 nr 5</t>
  </si>
  <si>
    <t>Plaas 2 nr 4</t>
  </si>
  <si>
    <t>Plaas 2 nr 3</t>
  </si>
  <si>
    <t>8.00 X 3.00</t>
  </si>
  <si>
    <t>Plaas 2 nr 23</t>
  </si>
  <si>
    <t>Plaas 2 nr 22</t>
  </si>
  <si>
    <t>Plaas 2 nr 21</t>
  </si>
  <si>
    <t>Plaas 2 nr 20</t>
  </si>
  <si>
    <t>Plaas 2 nr 2</t>
  </si>
  <si>
    <t>Plaas 2 nr 19</t>
  </si>
  <si>
    <t>Plaas 2 nr 18</t>
  </si>
  <si>
    <t>Plaas 2 nr 17</t>
  </si>
  <si>
    <t>Plaas 2 nr 16</t>
  </si>
  <si>
    <t>Plaas 2 nr 15</t>
  </si>
  <si>
    <t>Plaas 2 nr 14</t>
  </si>
  <si>
    <t>Plaas 2 nr 13</t>
  </si>
  <si>
    <t>Plaas 2 nr 12</t>
  </si>
  <si>
    <t>Plaas 2 nr 11</t>
  </si>
  <si>
    <t>Plaas 2 nr 10</t>
  </si>
  <si>
    <t>Plaas 2 nr 1</t>
  </si>
  <si>
    <t>Kop Blok</t>
  </si>
  <si>
    <t>Plaas 3 nr 9</t>
  </si>
  <si>
    <t>Plaas 3 nr 8</t>
  </si>
  <si>
    <t>Plaas 3 nr 7</t>
  </si>
  <si>
    <t>Plaas 3 nr 6</t>
  </si>
  <si>
    <t>Plaas 3 nr 5</t>
  </si>
  <si>
    <t>Plaas 3 nr 4</t>
  </si>
  <si>
    <t>Plaas 3 nr 3</t>
  </si>
  <si>
    <t>Plaas 3 nr 2</t>
  </si>
  <si>
    <t>Plaas 3 nr 11</t>
  </si>
  <si>
    <t>Plaas 3 nr 10</t>
  </si>
  <si>
    <t>Plaas 3 nr 1</t>
  </si>
  <si>
    <t>Plaas 2 nr 27</t>
  </si>
  <si>
    <t>Plaas 2 nr 26</t>
  </si>
  <si>
    <t>Plaas 2 nr 25</t>
  </si>
  <si>
    <t>Plaas 2 nr 24</t>
  </si>
  <si>
    <t>6.50 X 5.00</t>
  </si>
  <si>
    <t>Dallas Onder</t>
  </si>
  <si>
    <t>7.00 X 7.00</t>
  </si>
  <si>
    <t>Nelmac 2</t>
  </si>
  <si>
    <t>Dallas Middel</t>
  </si>
  <si>
    <t>Dallas Fase 2</t>
  </si>
  <si>
    <t>Dallas Fase 1</t>
  </si>
  <si>
    <t>Dallas Bo</t>
  </si>
  <si>
    <t>A4</t>
  </si>
  <si>
    <t>Fase 3</t>
  </si>
  <si>
    <t>7.00 X 3.43</t>
  </si>
  <si>
    <t>L6</t>
  </si>
  <si>
    <t>L5</t>
  </si>
  <si>
    <t>L4</t>
  </si>
  <si>
    <t>L3</t>
  </si>
  <si>
    <t>L2</t>
  </si>
  <si>
    <t>L1</t>
  </si>
  <si>
    <t>Irrigation</t>
  </si>
  <si>
    <t>Spacing</t>
  </si>
  <si>
    <t>Hectares</t>
  </si>
  <si>
    <t>OPEX (cost/ Ha multiplied)</t>
  </si>
  <si>
    <t>- scaling up farming operations &gt;1.000T</t>
  </si>
  <si>
    <t>- Developing export markets</t>
  </si>
  <si>
    <t>- D2C brand (www.macmenuts.com)</t>
  </si>
  <si>
    <t>- Product development (various roasts /flavors, packaging sizes, sports nutricion, etc)</t>
  </si>
  <si>
    <t>- waste product usage (nut oil, dust (cosmetics), pellets (fuel)</t>
  </si>
  <si>
    <t>- Agriturism</t>
  </si>
  <si>
    <t>(can be a 10 year repayment)</t>
  </si>
  <si>
    <t>benefits hazyview</t>
  </si>
  <si>
    <t>- new solar system to be commissioned</t>
  </si>
  <si>
    <t>- new machinery/ equipment</t>
  </si>
  <si>
    <t>- tourism potential next to kruger / on main road from Joburg</t>
  </si>
  <si>
    <t>- on site manager/ stay on with good reputation</t>
  </si>
  <si>
    <t>- new solar system at the process of being commissioned (grid independence/ cost reduction)</t>
  </si>
  <si>
    <t>Ha volgens oes data</t>
  </si>
  <si>
    <t>Cultivar</t>
  </si>
  <si>
    <t>Trees/ ha</t>
  </si>
  <si>
    <t>Ha</t>
  </si>
  <si>
    <t>No of trees</t>
  </si>
  <si>
    <t>Plant date</t>
  </si>
  <si>
    <t>Age</t>
  </si>
  <si>
    <t>2</t>
  </si>
  <si>
    <t>3</t>
  </si>
  <si>
    <t>4</t>
  </si>
  <si>
    <t>5</t>
  </si>
  <si>
    <t>6</t>
  </si>
  <si>
    <t>7</t>
  </si>
  <si>
    <t>8</t>
  </si>
  <si>
    <t>9</t>
  </si>
  <si>
    <t>816</t>
  </si>
  <si>
    <t>Nelmac</t>
  </si>
  <si>
    <t>Block name</t>
  </si>
  <si>
    <t xml:space="preserve">DNIS 2023 </t>
  </si>
  <si>
    <t>Row Labels</t>
  </si>
  <si>
    <t>(blank)</t>
  </si>
  <si>
    <t>Grand Total</t>
  </si>
  <si>
    <t xml:space="preserve">Sum of DNIS 2023 </t>
  </si>
  <si>
    <t>Sum of DNIS 2024</t>
  </si>
  <si>
    <t>Sum of DNIS 2025</t>
  </si>
  <si>
    <t>Sum of 2026</t>
  </si>
  <si>
    <t>Sum of 2027</t>
  </si>
  <si>
    <t>Sum of 2028</t>
  </si>
  <si>
    <t>Sum of 2029</t>
  </si>
  <si>
    <t>Sum of 2030</t>
  </si>
  <si>
    <t>Sum of 2031</t>
  </si>
  <si>
    <t>Sum of 2032</t>
  </si>
  <si>
    <t>Sum of 2033</t>
  </si>
  <si>
    <t>Sum of 2034</t>
  </si>
  <si>
    <t>Sum of 2035</t>
  </si>
  <si>
    <t>TOTAL tonnes</t>
  </si>
  <si>
    <t>Price KG</t>
  </si>
  <si>
    <t>vendor loan interest</t>
  </si>
  <si>
    <t>Bank Fees</t>
  </si>
  <si>
    <t>Bees</t>
  </si>
  <si>
    <t>Diesel</t>
  </si>
  <si>
    <t>Chemicals</t>
  </si>
  <si>
    <t>Fertilizer</t>
  </si>
  <si>
    <t>General Expenses</t>
  </si>
  <si>
    <t>Konsultasie fooie</t>
  </si>
  <si>
    <t>Levies</t>
  </si>
  <si>
    <t>Licenses</t>
  </si>
  <si>
    <t>Repairs &amp; Maintenance</t>
  </si>
  <si>
    <t>Ouditeursfooie</t>
  </si>
  <si>
    <t>Printing &amp; Stationery</t>
  </si>
  <si>
    <t>Protective clothing</t>
  </si>
  <si>
    <t>Salaries and Wages</t>
  </si>
  <si>
    <t>Manager Salary</t>
  </si>
  <si>
    <t>Manager Bonus</t>
  </si>
  <si>
    <t>Owners (general, admin and financial)</t>
  </si>
  <si>
    <t>Security</t>
  </si>
  <si>
    <t>Staff Welfare</t>
  </si>
  <si>
    <t>Subskripsies</t>
  </si>
  <si>
    <t>Telephone &amp; Internet</t>
  </si>
  <si>
    <t>Insurance (no hail insurance)</t>
  </si>
  <si>
    <t>Water &amp; Electricity</t>
  </si>
  <si>
    <t>Expected saving due to new solar</t>
  </si>
  <si>
    <t>TOTAL COST</t>
  </si>
  <si>
    <t>TOTAL INCOME</t>
  </si>
  <si>
    <t>PRODUCTION INCOME</t>
  </si>
  <si>
    <t>Working capital (10m opex)</t>
  </si>
  <si>
    <t>External investors - Cumprefs (6%)</t>
  </si>
  <si>
    <t>External investors - normal shares</t>
  </si>
  <si>
    <t>Total shareholders Capital required</t>
  </si>
  <si>
    <t>Class B - Cumpref shares</t>
  </si>
  <si>
    <t>Class A - Ordinary shares</t>
  </si>
  <si>
    <t>AVG 2023</t>
  </si>
  <si>
    <t>AVG 2024</t>
  </si>
  <si>
    <t>AVG 2025</t>
  </si>
  <si>
    <t>AVG 2026</t>
  </si>
  <si>
    <t>AVG 2027</t>
  </si>
  <si>
    <t>AVG 2028</t>
  </si>
  <si>
    <t>AVG 2029</t>
  </si>
  <si>
    <t>AVG 2030</t>
  </si>
  <si>
    <t>AVG 2031</t>
  </si>
  <si>
    <t>AVG 2032</t>
  </si>
  <si>
    <t>AVG 2033</t>
  </si>
  <si>
    <t>AVG 2034</t>
  </si>
  <si>
    <t>AVG 2035</t>
  </si>
  <si>
    <t>TOTAL AVG</t>
  </si>
  <si>
    <t>TOTAL AVG T/HA</t>
  </si>
  <si>
    <t>A16</t>
  </si>
  <si>
    <t>BMT</t>
  </si>
  <si>
    <t>DAD</t>
  </si>
  <si>
    <t>MIX</t>
  </si>
  <si>
    <t>PRODUCTION SUMMARIES HAZYVIEW</t>
  </si>
  <si>
    <t>PRODUCTION SUMMARIES BARBERTON</t>
  </si>
  <si>
    <t>Sum of ha</t>
  </si>
  <si>
    <t>Net Asset Value (EV Floor) SAR</t>
  </si>
  <si>
    <t>Net Asset Value (EV Floor) EUR</t>
  </si>
  <si>
    <t>- best quality/ most vertile of land (highest yields/ enough water/ less prowned to hail)</t>
  </si>
  <si>
    <t>- well located (accessible and transport efficiencies)</t>
  </si>
  <si>
    <t>Valuation &amp; Exit Sensitivity</t>
  </si>
  <si>
    <t>Production &amp; Revenue Assumptions</t>
  </si>
  <si>
    <t>Cost Structure &amp; Capex</t>
  </si>
  <si>
    <t>Financial Engineering &amp; Leverage</t>
  </si>
  <si>
    <t>Debt Service Coverage:</t>
  </si>
  <si>
    <t>Asymmetric Returns:</t>
  </si>
  <si>
    <t>The discrepancy is driven by the capital structure. Verify if the risk premium for BFC justifies the higher return relative to external capital.</t>
  </si>
  <si>
    <t>Strategic Gaps</t>
  </si>
  <si>
    <t>Summary of "Blind Spots"</t>
  </si>
  <si>
    <t>1. Zero CAPEX buffer.</t>
  </si>
  <si>
    <t>2. No Hail Insurance.</t>
  </si>
  <si>
    <t>3. Liquidity crunch in Year 2 (Vendor Loan repayment).</t>
  </si>
  <si>
    <t>4. Assumption of constant real prices despite rising global supply.</t>
  </si>
  <si>
    <r>
      <t>Terminal Value Dependency:</t>
    </r>
    <r>
      <rPr>
        <sz val="11"/>
        <color theme="1"/>
        <rFont val="Aptos Narrow"/>
        <family val="2"/>
        <scheme val="minor"/>
      </rPr>
      <t xml:space="preserve"> The business case relies disproportionately on the exit valuation (Year 6). The Equity Value in 2031 (165m ZAR) is nearly 5x the entry Equity Value (33m ZAR). This assumes a guaranteed </t>
    </r>
    <r>
      <rPr>
        <b/>
        <sz val="11"/>
        <color theme="1"/>
        <rFont val="Aptos Narrow"/>
        <family val="2"/>
        <scheme val="minor"/>
      </rPr>
      <t>6x EBITDA multiple</t>
    </r>
    <r>
      <rPr>
        <sz val="11"/>
        <color theme="1"/>
        <rFont val="Aptos Narrow"/>
        <family val="2"/>
        <scheme val="minor"/>
      </rPr>
      <t xml:space="preserve"> at exit. A compression to 4x or 5x (common in agricultural down-cycles) would obliterate the projected IRR.</t>
    </r>
  </si>
  <si>
    <r>
      <t>EBITDA Multiple Assumption:</t>
    </r>
    <r>
      <rPr>
        <sz val="11"/>
        <color theme="1"/>
        <rFont val="Aptos Narrow"/>
        <family val="2"/>
        <scheme val="minor"/>
      </rPr>
      <t xml:space="preserve"> The entry implies an EV/EBITDA of ~6x (90m EV / ~15m EBITDA in 2026). Modeling an exit at the same multiple assumes market sentiment and risk appetite remain identical in 2031. This is a neutral, not conservative, baseline.</t>
    </r>
  </si>
  <si>
    <r>
      <t>NAV vs. Earnings:</t>
    </r>
    <r>
      <rPr>
        <sz val="11"/>
        <color theme="1"/>
        <rFont val="Aptos Narrow"/>
        <family val="2"/>
        <scheme val="minor"/>
      </rPr>
      <t xml:space="preserve"> The Net Asset Value (NAV) floor is set at 85m ZAR. The model assumes NAV grows with inflation. If land prices stagnate, the "floor" for the exit valuation lowers.</t>
    </r>
  </si>
  <si>
    <r>
      <t>Yield Ramp-Up:</t>
    </r>
    <r>
      <rPr>
        <sz val="11"/>
        <color theme="1"/>
        <rFont val="Aptos Narrow"/>
        <family val="2"/>
        <scheme val="minor"/>
      </rPr>
      <t xml:space="preserve"> Production volume grows from 547 tons (2026) to 636 tons (2031)—a </t>
    </r>
    <r>
      <rPr>
        <b/>
        <sz val="11"/>
        <color theme="1"/>
        <rFont val="Aptos Narrow"/>
        <family val="2"/>
        <scheme val="minor"/>
      </rPr>
      <t>16% increase</t>
    </r>
    <r>
      <rPr>
        <sz val="11"/>
        <color theme="1"/>
        <rFont val="Aptos Narrow"/>
        <family val="2"/>
        <scheme val="minor"/>
      </rPr>
      <t>.</t>
    </r>
  </si>
  <si>
    <r>
      <t>Validation:</t>
    </r>
    <r>
      <rPr>
        <sz val="11"/>
        <color theme="1"/>
        <rFont val="Aptos Narrow"/>
        <family val="2"/>
        <scheme val="minor"/>
      </rPr>
      <t xml:space="preserve"> Most trees (e.g., blocks 1-9) were planted in 2015/2016. In 2026, they are 10-11 years old. Macadamias typically reach full maturity/plateau at 12-15 years. The projected growth aligns with the biological lifecycle, but leaves little room for environmental shocks (drought, pests).</t>
    </r>
  </si>
  <si>
    <r>
      <t>Price Stability Illusion:</t>
    </r>
    <r>
      <rPr>
        <sz val="11"/>
        <color theme="1"/>
        <rFont val="Aptos Narrow"/>
        <family val="2"/>
        <scheme val="minor"/>
      </rPr>
      <t xml:space="preserve"> Revenue growth is driven by both volume and price escalation.</t>
    </r>
  </si>
  <si>
    <r>
      <t>Base Prices:</t>
    </r>
    <r>
      <rPr>
        <sz val="11"/>
        <color theme="1"/>
        <rFont val="Aptos Narrow"/>
        <family val="2"/>
        <scheme val="minor"/>
      </rPr>
      <t xml:space="preserve"> The model uses 2026 base prices of R48/kg (695 Beaumont) to R61.5/kg (816).</t>
    </r>
  </si>
  <si>
    <r>
      <t>Inflationary Peg:</t>
    </r>
    <r>
      <rPr>
        <sz val="11"/>
        <color theme="1"/>
        <rFont val="Aptos Narrow"/>
        <family val="2"/>
        <scheme val="minor"/>
      </rPr>
      <t xml:space="preserve"> Prices escalate strictly at ~4% inflation annually. This assumes </t>
    </r>
    <r>
      <rPr>
        <b/>
        <sz val="11"/>
        <color theme="1"/>
        <rFont val="Aptos Narrow"/>
        <family val="2"/>
        <scheme val="minor"/>
      </rPr>
      <t>constant real prices</t>
    </r>
    <r>
      <rPr>
        <sz val="11"/>
        <color theme="1"/>
        <rFont val="Aptos Narrow"/>
        <family val="2"/>
        <scheme val="minor"/>
      </rPr>
      <t>.</t>
    </r>
  </si>
  <si>
    <r>
      <t>Risk:</t>
    </r>
    <r>
      <rPr>
        <sz val="11"/>
        <color theme="1"/>
        <rFont val="Aptos Narrow"/>
        <family val="2"/>
        <scheme val="minor"/>
      </rPr>
      <t xml:space="preserve"> Global macadamia supply is increasing (major plantings in SA, China, Vietnam). If global supply outpaces demand, real prices will drop. A flat or negative price growth scenario should be stress-tested.</t>
    </r>
  </si>
  <si>
    <r>
      <t>Zero Contingency:</t>
    </r>
    <r>
      <rPr>
        <sz val="11"/>
        <color theme="1"/>
        <rFont val="Aptos Narrow"/>
        <family val="2"/>
        <scheme val="minor"/>
      </rPr>
      <t xml:space="preserve"> The CAPEX budget (Source 8) lists "buffer (general/ Busdev/ Transition cost)" as </t>
    </r>
    <r>
      <rPr>
        <b/>
        <sz val="11"/>
        <color theme="1"/>
        <rFont val="Aptos Narrow"/>
        <family val="2"/>
        <scheme val="minor"/>
      </rPr>
      <t>0</t>
    </r>
    <r>
      <rPr>
        <sz val="11"/>
        <color theme="1"/>
        <rFont val="Aptos Narrow"/>
        <family val="2"/>
        <scheme val="minor"/>
      </rPr>
      <t>. Entering a farming operation with zero working capital buffer is operationally negligent. Unforeseen machinery failure or crop input spikes (fertilizer/chemicals) will immediately stress cash flow.</t>
    </r>
  </si>
  <si>
    <r>
      <t>OPEX Inflation:</t>
    </r>
    <r>
      <rPr>
        <sz val="11"/>
        <color theme="1"/>
        <rFont val="Aptos Narrow"/>
        <family val="2"/>
        <scheme val="minor"/>
      </rPr>
      <t xml:space="preserve"> OPEX per hectare grows at 4% (inflation). This ignores input-specific inflation (e.g., fertilizer and diesel often outpace CPI).</t>
    </r>
  </si>
  <si>
    <r>
      <t>Management Cost:</t>
    </r>
    <r>
      <rPr>
        <sz val="11"/>
        <color theme="1"/>
        <rFont val="Aptos Narrow"/>
        <family val="2"/>
        <scheme val="minor"/>
      </rPr>
      <t xml:space="preserve"> Manager salary is ~655k ZAR. For an operation of this complexity (155 Ha, export focus), this is lean. If this manager leaves, replacement cost may be significantly higher.</t>
    </r>
  </si>
  <si>
    <r>
      <t>Leverage Effect:</t>
    </r>
    <r>
      <rPr>
        <sz val="11"/>
        <color theme="1"/>
        <rFont val="Aptos Narrow"/>
        <family val="2"/>
        <scheme val="minor"/>
      </rPr>
      <t xml:space="preserve"> The deal is heavily levered (40m ZAR Bank Loan + 20m ZAR Vendor Loan = 60m Debt on 93m Total Uses). This represents </t>
    </r>
    <r>
      <rPr>
        <b/>
        <sz val="11"/>
        <color theme="1"/>
        <rFont val="Aptos Narrow"/>
        <family val="2"/>
        <scheme val="minor"/>
      </rPr>
      <t>~64% Loan-to-Cost</t>
    </r>
    <r>
      <rPr>
        <sz val="11"/>
        <color theme="1"/>
        <rFont val="Aptos Narrow"/>
        <family val="2"/>
        <scheme val="minor"/>
      </rPr>
      <t>.</t>
    </r>
  </si>
  <si>
    <r>
      <t>Interest:</t>
    </r>
    <r>
      <rPr>
        <sz val="11"/>
        <color theme="1"/>
        <rFont val="Aptos Narrow"/>
        <family val="2"/>
        <scheme val="minor"/>
      </rPr>
      <t xml:space="preserve"> 2026 EBITDA (15m) covers Interest (~3.5m) comfortably (&gt;4x coverage).</t>
    </r>
  </si>
  <si>
    <r>
      <t>Repayment Cliff:</t>
    </r>
    <r>
      <rPr>
        <sz val="11"/>
        <color theme="1"/>
        <rFont val="Aptos Narrow"/>
        <family val="2"/>
        <scheme val="minor"/>
      </rPr>
      <t xml:space="preserve"> Bank loan repayment kicks in Year 3 (10m/year). Vendor loan repayment is Year 2 (20m).</t>
    </r>
  </si>
  <si>
    <r>
      <t>Cash Flow Pinch:</t>
    </r>
    <r>
      <rPr>
        <sz val="11"/>
        <color theme="1"/>
        <rFont val="Aptos Narrow"/>
        <family val="2"/>
        <scheme val="minor"/>
      </rPr>
      <t xml:space="preserve"> In 2027 (Year 2), the model shows a cash mutation of </t>
    </r>
    <r>
      <rPr>
        <b/>
        <sz val="11"/>
        <color theme="1"/>
        <rFont val="Aptos Narrow"/>
        <family val="2"/>
        <scheme val="minor"/>
      </rPr>
      <t>-7.4m ZAR</t>
    </r>
    <r>
      <rPr>
        <sz val="11"/>
        <color theme="1"/>
        <rFont val="Aptos Narrow"/>
        <family val="2"/>
        <scheme val="minor"/>
      </rPr>
      <t xml:space="preserve"> due to the 20m Vendor Loan repayment. The opening cash position covers this, but liquidity drops to ~3.6m ZAR. This is the point of maximum financial vulnerability.</t>
    </r>
  </si>
  <si>
    <r>
      <t>BFC (65% stake):</t>
    </r>
    <r>
      <rPr>
        <sz val="11"/>
        <color theme="1"/>
        <rFont val="Aptos Narrow"/>
        <family val="2"/>
        <scheme val="minor"/>
      </rPr>
      <t xml:space="preserve"> Projected IRR 36.9%.</t>
    </r>
  </si>
  <si>
    <r>
      <t>External Investors (25% stake):</t>
    </r>
    <r>
      <rPr>
        <sz val="11"/>
        <color theme="1"/>
        <rFont val="Aptos Narrow"/>
        <family val="2"/>
        <scheme val="minor"/>
      </rPr>
      <t xml:space="preserve"> Projected IRR 24%.</t>
    </r>
  </si>
  <si>
    <r>
      <t>Revenue Concentration:</t>
    </r>
    <r>
      <rPr>
        <sz val="11"/>
        <color theme="1"/>
        <rFont val="Aptos Narrow"/>
        <family val="2"/>
        <scheme val="minor"/>
      </rPr>
      <t xml:space="preserve"> 100% of income appears derived from raw nut sales (NIS). The "Growth Strategies" (Source 14) mention "D2C brand" and "waste product usage," but these do not appear to have revenue lines in the P&amp;L. If they are upside only, the base case is purely a commodity play.</t>
    </r>
  </si>
  <si>
    <r>
      <t>Insurance:</t>
    </r>
    <r>
      <rPr>
        <sz val="11"/>
        <color theme="1"/>
        <rFont val="Aptos Narrow"/>
        <family val="2"/>
        <scheme val="minor"/>
      </rPr>
      <t xml:space="preserve"> The P&amp;L explicitly states "Insurance (no hail insurance)." Hazyview is a summer rainfall area. Lack of hail insurance on a crop with high aesthetic quality requirements (NIS) is a catastrophic risk vector. One severe storm could wipe out a year's revenue while fixed costs remain.</t>
    </r>
  </si>
  <si>
    <t>GROWTH STRATEGIES - BFC VALUE AD</t>
  </si>
  <si>
    <t>* case is based on continuation &amp; performance of existing operations - not factoring in any BFC upside/ additional revenue</t>
  </si>
  <si>
    <t>Mac prices (2026) conservative</t>
  </si>
  <si>
    <t>Mac prices (2026) realistic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</si>
</sst>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_ [$€-2]\ * #,##0_ ;_ [$€-2]\ * \-#,##0_ ;_ [$€-2]\ * &quot;-&quot;??_ ;_ @_ "/>
    <numFmt numFmtId="165" formatCode="[$R-1C09]#,##0"/>
    <numFmt numFmtId="166" formatCode="_ * #,##0_ ;_ * \-#,##0_ ;_ * &quot;-&quot;??_ ;_ @_ "/>
    <numFmt numFmtId="167" formatCode="_-* #,##0.00_-;\-* #,##0.00_-;_-* &quot;-&quot;??_-;_-@_-"/>
    <numFmt numFmtId="168" formatCode="\ dd\-mmm\-yyyy"/>
    <numFmt numFmtId="169" formatCode="_-* #,##0_-;\-* #,##0_-;_-* &quot;-&quot;??_-;_-@_-"/>
  </numFmts>
  <fonts count="18"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b/>
      <sz val="8"/>
      <color theme="1"/>
      <name val="Aptos Narrow"/>
      <family val="2"/>
      <scheme val="minor"/>
    </font>
    <font>
      <sz val="8"/>
      <color theme="1"/>
      <name val="Aptos Narrow"/>
      <family val="2"/>
      <scheme val="minor"/>
    </font>
    <font>
      <b/>
      <sz val="14"/>
      <color theme="0"/>
      <name val="Aptos Narrow"/>
      <family val="2"/>
      <scheme val="minor"/>
    </font>
    <font>
      <sz val="12"/>
      <color theme="1"/>
      <name val="Aptos"/>
      <family val="2"/>
    </font>
    <font>
      <b/>
      <sz val="8"/>
      <color rgb="FFFF0000"/>
      <name val="Aptos"/>
      <family val="2"/>
    </font>
    <font>
      <sz val="8"/>
      <color theme="1"/>
      <name val="Aptos"/>
      <family val="2"/>
    </font>
    <font>
      <sz val="8"/>
      <color rgb="FFFFFFFF"/>
      <name val="Aptos"/>
      <family val="2"/>
    </font>
    <font>
      <b/>
      <sz val="8"/>
      <color theme="0"/>
      <name val="Aptos Narrow"/>
      <family val="2"/>
      <scheme val="minor"/>
    </font>
    <font>
      <sz val="10"/>
      <color rgb="FF000000"/>
      <name val="Aptos Narrow"/>
      <family val="2"/>
      <scheme val="minor"/>
    </font>
    <font>
      <sz val="10"/>
      <color indexed="8"/>
      <name val="Arial"/>
      <family val="2"/>
    </font>
    <font>
      <sz val="10"/>
      <color indexed="8"/>
      <name val="Arial"/>
      <family val="2"/>
    </font>
    <font>
      <b/>
      <sz val="8"/>
      <color indexed="8"/>
      <name val="Arial"/>
      <family val="2"/>
    </font>
    <font>
      <sz val="8"/>
      <color indexed="8"/>
      <name val="Arial"/>
      <family val="2"/>
    </font>
    <font>
      <i/>
      <sz val="11"/>
      <color theme="1"/>
      <name val="Aptos Narrow"/>
      <family val="2"/>
      <scheme val="minor"/>
    </font>
  </fonts>
  <fills count="9">
    <fill>
      <patternFill patternType="none"/>
    </fill>
    <fill>
      <patternFill patternType="gray125"/>
    </fill>
    <fill>
      <patternFill patternType="solid">
        <fgColor rgb="FFFFFF00"/>
        <bgColor indexed="64"/>
      </patternFill>
    </fill>
    <fill>
      <patternFill patternType="solid">
        <fgColor theme="1"/>
        <bgColor indexed="64"/>
      </patternFill>
    </fill>
    <fill>
      <patternFill patternType="solid">
        <fgColor theme="0"/>
        <bgColor indexed="64"/>
      </patternFill>
    </fill>
    <fill>
      <patternFill patternType="solid">
        <fgColor theme="7" tint="0.79998168889431442"/>
        <bgColor indexed="64"/>
      </patternFill>
    </fill>
    <fill>
      <patternFill patternType="solid">
        <fgColor theme="3" tint="0.749992370372631"/>
        <bgColor indexed="64"/>
      </patternFill>
    </fill>
    <fill>
      <patternFill patternType="solid">
        <fgColor theme="3" tint="0.499984740745262"/>
        <bgColor indexed="64"/>
      </patternFill>
    </fill>
    <fill>
      <patternFill patternType="solid">
        <fgColor theme="3" tint="0.89999084444715716"/>
        <bgColor indexed="64"/>
      </patternFill>
    </fill>
  </fills>
  <borders count="1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thin">
        <color theme="4" tint="0.39997558519241921"/>
      </bottom>
      <diagonal/>
    </border>
  </borders>
  <cellStyleXfs count="7">
    <xf numFmtId="0" fontId="0" fillId="0" borderId="0"/>
    <xf numFmtId="43" fontId="1" fillId="0" borderId="0" applyFont="0" applyFill="0" applyBorder="0" applyAlignment="0" applyProtection="0"/>
    <xf numFmtId="9" fontId="1" fillId="0" borderId="0" applyFont="0" applyFill="0" applyBorder="0" applyAlignment="0" applyProtection="0"/>
    <xf numFmtId="0" fontId="12" fillId="0" borderId="0"/>
    <xf numFmtId="0" fontId="13" fillId="0" borderId="0">
      <alignment vertical="top"/>
    </xf>
    <xf numFmtId="167" fontId="14" fillId="0" borderId="0" applyFont="0" applyFill="0" applyBorder="0" applyAlignment="0" applyProtection="0">
      <alignment vertical="top"/>
    </xf>
    <xf numFmtId="0" fontId="1" fillId="0" borderId="0"/>
  </cellStyleXfs>
  <cellXfs count="135">
    <xf numFmtId="0" fontId="0" fillId="0" borderId="0" xfId="0"/>
    <xf numFmtId="0" fontId="2" fillId="0" borderId="0" xfId="0" applyFont="1"/>
    <xf numFmtId="164" fontId="0" fillId="0" borderId="0" xfId="0" applyNumberFormat="1"/>
    <xf numFmtId="165" fontId="0" fillId="0" borderId="0" xfId="0" applyNumberFormat="1"/>
    <xf numFmtId="165" fontId="2" fillId="0" borderId="0" xfId="0" applyNumberFormat="1" applyFont="1"/>
    <xf numFmtId="164" fontId="2" fillId="0" borderId="0" xfId="0" applyNumberFormat="1" applyFont="1"/>
    <xf numFmtId="9" fontId="0" fillId="0" borderId="0" xfId="0" applyNumberFormat="1"/>
    <xf numFmtId="9" fontId="0" fillId="0" borderId="0" xfId="2" applyFont="1"/>
    <xf numFmtId="9" fontId="0" fillId="2" borderId="0" xfId="0" applyNumberFormat="1" applyFill="1"/>
    <xf numFmtId="0" fontId="0" fillId="0" borderId="1" xfId="0" applyBorder="1"/>
    <xf numFmtId="0" fontId="2" fillId="0" borderId="2" xfId="0" applyFont="1" applyBorder="1"/>
    <xf numFmtId="0" fontId="2" fillId="0" borderId="3" xfId="0" applyFont="1" applyBorder="1"/>
    <xf numFmtId="0" fontId="0" fillId="0" borderId="4" xfId="0" applyBorder="1"/>
    <xf numFmtId="0" fontId="0" fillId="0" borderId="5" xfId="0" applyBorder="1"/>
    <xf numFmtId="0" fontId="0" fillId="0" borderId="6" xfId="0" applyBorder="1"/>
    <xf numFmtId="165" fontId="0" fillId="0" borderId="7" xfId="0" applyNumberFormat="1" applyBorder="1"/>
    <xf numFmtId="164" fontId="0" fillId="0" borderId="7" xfId="0" applyNumberFormat="1" applyBorder="1"/>
    <xf numFmtId="9" fontId="0" fillId="2" borderId="7" xfId="0" applyNumberFormat="1" applyFill="1" applyBorder="1"/>
    <xf numFmtId="9" fontId="0" fillId="2" borderId="8" xfId="0" applyNumberFormat="1" applyFill="1" applyBorder="1"/>
    <xf numFmtId="0" fontId="4" fillId="0" borderId="0" xfId="0" applyFont="1"/>
    <xf numFmtId="0" fontId="5" fillId="0" borderId="0" xfId="0" applyFont="1"/>
    <xf numFmtId="165" fontId="5" fillId="0" borderId="0" xfId="0" applyNumberFormat="1" applyFont="1"/>
    <xf numFmtId="165" fontId="4" fillId="0" borderId="0" xfId="0" applyNumberFormat="1" applyFont="1"/>
    <xf numFmtId="0" fontId="0" fillId="4" borderId="0" xfId="0" applyFill="1"/>
    <xf numFmtId="0" fontId="7" fillId="0" borderId="0" xfId="0" applyFont="1"/>
    <xf numFmtId="9" fontId="5" fillId="0" borderId="0" xfId="0" applyNumberFormat="1" applyFont="1"/>
    <xf numFmtId="0" fontId="4" fillId="0" borderId="0" xfId="0" applyFont="1" applyAlignment="1">
      <alignment horizontal="center"/>
    </xf>
    <xf numFmtId="166" fontId="5" fillId="0" borderId="0" xfId="1" applyNumberFormat="1" applyFont="1"/>
    <xf numFmtId="43" fontId="5" fillId="0" borderId="0" xfId="1" applyFont="1"/>
    <xf numFmtId="0" fontId="4" fillId="4" borderId="1" xfId="0" applyFont="1" applyFill="1" applyBorder="1"/>
    <xf numFmtId="0" fontId="4" fillId="4" borderId="2" xfId="0" applyFont="1" applyFill="1" applyBorder="1"/>
    <xf numFmtId="0" fontId="4" fillId="4" borderId="0" xfId="0" applyFont="1" applyFill="1"/>
    <xf numFmtId="0" fontId="5" fillId="4" borderId="4" xfId="0" applyFont="1" applyFill="1" applyBorder="1"/>
    <xf numFmtId="9" fontId="5" fillId="4" borderId="0" xfId="0" applyNumberFormat="1" applyFont="1" applyFill="1"/>
    <xf numFmtId="165" fontId="5" fillId="4" borderId="0" xfId="0" applyNumberFormat="1" applyFont="1" applyFill="1"/>
    <xf numFmtId="165" fontId="5" fillId="4" borderId="5" xfId="0" applyNumberFormat="1" applyFont="1" applyFill="1" applyBorder="1"/>
    <xf numFmtId="0" fontId="5" fillId="4" borderId="0" xfId="0" applyFont="1" applyFill="1"/>
    <xf numFmtId="9" fontId="5" fillId="4" borderId="0" xfId="2" applyFont="1" applyFill="1" applyBorder="1"/>
    <xf numFmtId="164" fontId="5" fillId="4" borderId="5" xfId="0" applyNumberFormat="1" applyFont="1" applyFill="1" applyBorder="1"/>
    <xf numFmtId="0" fontId="5" fillId="4" borderId="6" xfId="0" applyFont="1" applyFill="1" applyBorder="1"/>
    <xf numFmtId="9" fontId="5" fillId="4" borderId="7" xfId="0" applyNumberFormat="1" applyFont="1" applyFill="1" applyBorder="1"/>
    <xf numFmtId="165" fontId="5" fillId="4" borderId="7" xfId="0" applyNumberFormat="1" applyFont="1" applyFill="1" applyBorder="1"/>
    <xf numFmtId="165" fontId="5" fillId="4" borderId="8" xfId="0" applyNumberFormat="1" applyFont="1" applyFill="1" applyBorder="1"/>
    <xf numFmtId="9" fontId="4" fillId="4" borderId="2" xfId="0" applyNumberFormat="1" applyFont="1" applyFill="1" applyBorder="1"/>
    <xf numFmtId="0" fontId="5" fillId="4" borderId="7" xfId="0" applyFont="1" applyFill="1" applyBorder="1"/>
    <xf numFmtId="1" fontId="5" fillId="4" borderId="0" xfId="0" applyNumberFormat="1" applyFont="1" applyFill="1"/>
    <xf numFmtId="9" fontId="5" fillId="4" borderId="5" xfId="2" applyFont="1" applyFill="1" applyBorder="1"/>
    <xf numFmtId="9" fontId="5" fillId="4" borderId="7" xfId="2" applyFont="1" applyFill="1" applyBorder="1"/>
    <xf numFmtId="9" fontId="5" fillId="4" borderId="8" xfId="2" applyFont="1" applyFill="1" applyBorder="1"/>
    <xf numFmtId="0" fontId="5" fillId="4" borderId="2" xfId="0" applyFont="1" applyFill="1" applyBorder="1"/>
    <xf numFmtId="165" fontId="4" fillId="4" borderId="2" xfId="0" applyNumberFormat="1" applyFont="1" applyFill="1" applyBorder="1"/>
    <xf numFmtId="43" fontId="5" fillId="4" borderId="0" xfId="1" applyFont="1" applyFill="1" applyBorder="1"/>
    <xf numFmtId="43" fontId="5" fillId="4" borderId="5" xfId="1" applyFont="1" applyFill="1" applyBorder="1"/>
    <xf numFmtId="2" fontId="5" fillId="4" borderId="5" xfId="0" applyNumberFormat="1" applyFont="1" applyFill="1" applyBorder="1"/>
    <xf numFmtId="43" fontId="5" fillId="4" borderId="7" xfId="1" applyFont="1" applyFill="1" applyBorder="1"/>
    <xf numFmtId="43" fontId="5" fillId="4" borderId="8" xfId="1" applyFont="1" applyFill="1" applyBorder="1"/>
    <xf numFmtId="2" fontId="5" fillId="4" borderId="7" xfId="0" applyNumberFormat="1" applyFont="1" applyFill="1" applyBorder="1"/>
    <xf numFmtId="2" fontId="5" fillId="4" borderId="8" xfId="0" applyNumberFormat="1" applyFont="1" applyFill="1" applyBorder="1"/>
    <xf numFmtId="14" fontId="5" fillId="4" borderId="0" xfId="0" applyNumberFormat="1" applyFont="1" applyFill="1"/>
    <xf numFmtId="164" fontId="9" fillId="4" borderId="0" xfId="0" applyNumberFormat="1" applyFont="1" applyFill="1" applyAlignment="1">
      <alignment horizontal="center" vertical="center" wrapText="1" readingOrder="1"/>
    </xf>
    <xf numFmtId="9" fontId="9" fillId="4" borderId="0" xfId="0" applyNumberFormat="1" applyFont="1" applyFill="1" applyAlignment="1">
      <alignment horizontal="center" vertical="center" wrapText="1" readingOrder="1"/>
    </xf>
    <xf numFmtId="14" fontId="5" fillId="4" borderId="0" xfId="0" applyNumberFormat="1" applyFont="1" applyFill="1" applyAlignment="1">
      <alignment horizontal="center"/>
    </xf>
    <xf numFmtId="0" fontId="8" fillId="4" borderId="0" xfId="0" applyFont="1" applyFill="1" applyAlignment="1">
      <alignment horizontal="left" vertical="center" wrapText="1" readingOrder="1"/>
    </xf>
    <xf numFmtId="0" fontId="10" fillId="4" borderId="0" xfId="0" applyFont="1" applyFill="1" applyAlignment="1">
      <alignment horizontal="left" vertical="center" wrapText="1" readingOrder="1"/>
    </xf>
    <xf numFmtId="9" fontId="5" fillId="4" borderId="0" xfId="0" applyNumberFormat="1" applyFont="1" applyFill="1" applyAlignment="1">
      <alignment horizontal="center"/>
    </xf>
    <xf numFmtId="164" fontId="5" fillId="4" borderId="0" xfId="0" applyNumberFormat="1" applyFont="1" applyFill="1"/>
    <xf numFmtId="2" fontId="5" fillId="4" borderId="0" xfId="0" applyNumberFormat="1" applyFont="1" applyFill="1"/>
    <xf numFmtId="9" fontId="4" fillId="4" borderId="2" xfId="2" applyFont="1" applyFill="1" applyBorder="1"/>
    <xf numFmtId="164" fontId="5" fillId="4" borderId="7" xfId="0" applyNumberFormat="1" applyFont="1" applyFill="1" applyBorder="1"/>
    <xf numFmtId="164" fontId="5" fillId="4" borderId="8" xfId="0" applyNumberFormat="1" applyFont="1" applyFill="1" applyBorder="1"/>
    <xf numFmtId="164" fontId="5" fillId="4" borderId="2" xfId="0" applyNumberFormat="1" applyFont="1" applyFill="1" applyBorder="1"/>
    <xf numFmtId="0" fontId="5" fillId="4" borderId="1" xfId="0" applyFont="1" applyFill="1" applyBorder="1"/>
    <xf numFmtId="9" fontId="5" fillId="4" borderId="2" xfId="2" applyFont="1" applyFill="1" applyBorder="1"/>
    <xf numFmtId="164" fontId="5" fillId="4" borderId="0" xfId="2" applyNumberFormat="1" applyFont="1" applyFill="1" applyBorder="1"/>
    <xf numFmtId="164" fontId="5" fillId="4" borderId="5" xfId="2" applyNumberFormat="1" applyFont="1" applyFill="1" applyBorder="1"/>
    <xf numFmtId="164" fontId="5" fillId="4" borderId="3" xfId="0" applyNumberFormat="1" applyFont="1" applyFill="1" applyBorder="1"/>
    <xf numFmtId="0" fontId="4" fillId="4" borderId="2" xfId="0" applyFont="1" applyFill="1" applyBorder="1" applyAlignment="1">
      <alignment horizontal="right"/>
    </xf>
    <xf numFmtId="0" fontId="4" fillId="4" borderId="3" xfId="0" applyFont="1" applyFill="1" applyBorder="1" applyAlignment="1">
      <alignment horizontal="right"/>
    </xf>
    <xf numFmtId="164" fontId="4" fillId="4" borderId="2" xfId="2" applyNumberFormat="1" applyFont="1" applyFill="1" applyBorder="1" applyAlignment="1">
      <alignment horizontal="right"/>
    </xf>
    <xf numFmtId="164" fontId="4" fillId="4" borderId="3" xfId="2" applyNumberFormat="1" applyFont="1" applyFill="1" applyBorder="1" applyAlignment="1">
      <alignment horizontal="right"/>
    </xf>
    <xf numFmtId="164" fontId="4" fillId="4" borderId="2" xfId="0" applyNumberFormat="1" applyFont="1" applyFill="1" applyBorder="1" applyAlignment="1">
      <alignment horizontal="right"/>
    </xf>
    <xf numFmtId="164" fontId="4" fillId="4" borderId="3" xfId="0" applyNumberFormat="1" applyFont="1" applyFill="1" applyBorder="1" applyAlignment="1">
      <alignment horizontal="right"/>
    </xf>
    <xf numFmtId="9" fontId="4" fillId="4" borderId="2" xfId="2" applyFont="1" applyFill="1" applyBorder="1" applyAlignment="1">
      <alignment horizontal="right"/>
    </xf>
    <xf numFmtId="0" fontId="0" fillId="4" borderId="0" xfId="0" quotePrefix="1" applyFill="1"/>
    <xf numFmtId="165" fontId="0" fillId="0" borderId="0" xfId="0" quotePrefix="1" applyNumberFormat="1"/>
    <xf numFmtId="0" fontId="5" fillId="0" borderId="0" xfId="0" applyFont="1" applyAlignment="1">
      <alignment horizontal="left"/>
    </xf>
    <xf numFmtId="166" fontId="4" fillId="0" borderId="0" xfId="0" applyNumberFormat="1" applyFont="1"/>
    <xf numFmtId="0" fontId="6" fillId="3" borderId="0" xfId="0" applyFont="1" applyFill="1" applyAlignment="1">
      <alignment horizontal="center" vertical="center"/>
    </xf>
    <xf numFmtId="0" fontId="4" fillId="4" borderId="12" xfId="0" applyFont="1" applyFill="1" applyBorder="1"/>
    <xf numFmtId="0" fontId="4" fillId="4" borderId="12" xfId="0" applyFont="1" applyFill="1" applyBorder="1" applyAlignment="1">
      <alignment horizontal="right"/>
    </xf>
    <xf numFmtId="0" fontId="4" fillId="0" borderId="0" xfId="0" applyFont="1" applyAlignment="1">
      <alignment horizontal="right"/>
    </xf>
    <xf numFmtId="49" fontId="4" fillId="0" borderId="0" xfId="0" applyNumberFormat="1" applyFont="1"/>
    <xf numFmtId="166" fontId="4" fillId="0" borderId="0" xfId="1" applyNumberFormat="1" applyFont="1"/>
    <xf numFmtId="0" fontId="5" fillId="0" borderId="0" xfId="0" pivotButton="1" applyFont="1"/>
    <xf numFmtId="169" fontId="5" fillId="0" borderId="0" xfId="0" applyNumberFormat="1" applyFont="1"/>
    <xf numFmtId="166" fontId="5" fillId="0" borderId="0" xfId="0" applyNumberFormat="1" applyFont="1"/>
    <xf numFmtId="0" fontId="15" fillId="0" borderId="0" xfId="4" applyFont="1">
      <alignment vertical="top"/>
    </xf>
    <xf numFmtId="167" fontId="15" fillId="0" borderId="0" xfId="5" applyFont="1">
      <alignment vertical="top"/>
    </xf>
    <xf numFmtId="166" fontId="15" fillId="0" borderId="0" xfId="1" applyNumberFormat="1" applyFont="1" applyAlignment="1">
      <alignment vertical="top"/>
    </xf>
    <xf numFmtId="0" fontId="16" fillId="0" borderId="0" xfId="4" applyFont="1">
      <alignment vertical="top"/>
    </xf>
    <xf numFmtId="3" fontId="16" fillId="0" borderId="0" xfId="4" applyNumberFormat="1" applyFont="1">
      <alignment vertical="top"/>
    </xf>
    <xf numFmtId="167" fontId="5" fillId="0" borderId="0" xfId="5" applyFont="1">
      <alignment vertical="top"/>
    </xf>
    <xf numFmtId="4" fontId="16" fillId="0" borderId="0" xfId="4" applyNumberFormat="1" applyFont="1">
      <alignment vertical="top"/>
    </xf>
    <xf numFmtId="1" fontId="16" fillId="0" borderId="0" xfId="4" applyNumberFormat="1" applyFont="1">
      <alignment vertical="top"/>
    </xf>
    <xf numFmtId="168" fontId="16" fillId="0" borderId="0" xfId="4" applyNumberFormat="1" applyFont="1">
      <alignment vertical="top"/>
    </xf>
    <xf numFmtId="166" fontId="16" fillId="0" borderId="0" xfId="1" applyNumberFormat="1" applyFont="1" applyAlignment="1">
      <alignment vertical="top"/>
    </xf>
    <xf numFmtId="166" fontId="16" fillId="0" borderId="0" xfId="1" applyNumberFormat="1" applyFont="1" applyAlignment="1"/>
    <xf numFmtId="166" fontId="16" fillId="5" borderId="9" xfId="1" applyNumberFormat="1" applyFont="1" applyFill="1" applyBorder="1" applyAlignment="1">
      <alignment vertical="top"/>
    </xf>
    <xf numFmtId="166" fontId="16" fillId="5" borderId="10" xfId="1" applyNumberFormat="1" applyFont="1" applyFill="1" applyBorder="1" applyAlignment="1">
      <alignment vertical="top"/>
    </xf>
    <xf numFmtId="166" fontId="16" fillId="6" borderId="9" xfId="1" applyNumberFormat="1" applyFont="1" applyFill="1" applyBorder="1" applyAlignment="1">
      <alignment vertical="top"/>
    </xf>
    <xf numFmtId="166" fontId="16" fillId="6" borderId="11" xfId="1" applyNumberFormat="1" applyFont="1" applyFill="1" applyBorder="1" applyAlignment="1">
      <alignment vertical="top"/>
    </xf>
    <xf numFmtId="166" fontId="16" fillId="6" borderId="10" xfId="1" applyNumberFormat="1" applyFont="1" applyFill="1" applyBorder="1" applyAlignment="1">
      <alignment vertical="top"/>
    </xf>
    <xf numFmtId="166" fontId="16" fillId="7" borderId="9" xfId="1" applyNumberFormat="1" applyFont="1" applyFill="1" applyBorder="1" applyAlignment="1">
      <alignment vertical="top"/>
    </xf>
    <xf numFmtId="166" fontId="16" fillId="7" borderId="11" xfId="1" applyNumberFormat="1" applyFont="1" applyFill="1" applyBorder="1" applyAlignment="1">
      <alignment vertical="top"/>
    </xf>
    <xf numFmtId="166" fontId="16" fillId="7" borderId="10" xfId="1" applyNumberFormat="1" applyFont="1" applyFill="1" applyBorder="1" applyAlignment="1">
      <alignment vertical="top"/>
    </xf>
    <xf numFmtId="166" fontId="16" fillId="8" borderId="9" xfId="1" applyNumberFormat="1" applyFont="1" applyFill="1" applyBorder="1" applyAlignment="1">
      <alignment vertical="top"/>
    </xf>
    <xf numFmtId="166" fontId="16" fillId="8" borderId="11" xfId="1" applyNumberFormat="1" applyFont="1" applyFill="1" applyBorder="1" applyAlignment="1">
      <alignment vertical="top"/>
    </xf>
    <xf numFmtId="166" fontId="16" fillId="8" borderId="10" xfId="1" applyNumberFormat="1" applyFont="1" applyFill="1" applyBorder="1" applyAlignment="1">
      <alignment vertical="top"/>
    </xf>
    <xf numFmtId="167" fontId="16" fillId="0" borderId="0" xfId="5" applyFont="1">
      <alignment vertical="top"/>
    </xf>
    <xf numFmtId="164" fontId="5" fillId="0" borderId="0" xfId="0" applyNumberFormat="1" applyFont="1"/>
    <xf numFmtId="0" fontId="0" fillId="0" borderId="0" xfId="0" applyAlignment="1">
      <alignment horizontal="left" vertical="top" wrapText="1"/>
    </xf>
    <xf numFmtId="0" fontId="6" fillId="3" borderId="0" xfId="0" applyFont="1" applyFill="1" applyAlignment="1">
      <alignment horizontal="left" vertical="top" wrapText="1"/>
    </xf>
    <xf numFmtId="0" fontId="0" fillId="4" borderId="0" xfId="0" applyFill="1" applyAlignment="1">
      <alignment horizontal="left" vertical="top" wrapText="1"/>
    </xf>
    <xf numFmtId="0" fontId="2" fillId="4" borderId="9" xfId="0" applyFont="1" applyFill="1" applyBorder="1" applyAlignment="1">
      <alignment horizontal="left" vertical="top" wrapText="1"/>
    </xf>
    <xf numFmtId="0" fontId="2" fillId="4" borderId="11" xfId="0" applyFont="1" applyFill="1" applyBorder="1" applyAlignment="1">
      <alignment horizontal="left" vertical="top" wrapText="1"/>
    </xf>
    <xf numFmtId="0" fontId="6" fillId="3" borderId="11" xfId="0" applyFont="1" applyFill="1" applyBorder="1" applyAlignment="1">
      <alignment horizontal="left" vertical="top" wrapText="1"/>
    </xf>
    <xf numFmtId="0" fontId="17" fillId="4" borderId="11" xfId="0" applyFont="1" applyFill="1" applyBorder="1" applyAlignment="1">
      <alignment horizontal="left" vertical="top" wrapText="1"/>
    </xf>
    <xf numFmtId="0" fontId="0" fillId="4" borderId="11" xfId="0" applyFill="1" applyBorder="1" applyAlignment="1">
      <alignment horizontal="left" vertical="top" wrapText="1"/>
    </xf>
    <xf numFmtId="0" fontId="0" fillId="4" borderId="10" xfId="0" applyFill="1" applyBorder="1" applyAlignment="1">
      <alignment horizontal="left" vertical="top" wrapText="1"/>
    </xf>
    <xf numFmtId="0" fontId="6" fillId="3" borderId="0" xfId="0" applyFont="1" applyFill="1" applyAlignment="1">
      <alignment horizontal="center" vertical="center"/>
    </xf>
    <xf numFmtId="0" fontId="0" fillId="0" borderId="0" xfId="0" applyAlignment="1">
      <alignment horizontal="center" vertical="center"/>
    </xf>
    <xf numFmtId="0" fontId="11" fillId="3" borderId="0" xfId="0" applyFont="1" applyFill="1" applyAlignment="1">
      <alignment horizontal="center" vertical="center"/>
    </xf>
    <xf numFmtId="0" fontId="6" fillId="3" borderId="1"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3" xfId="0" applyFont="1" applyFill="1" applyBorder="1" applyAlignment="1">
      <alignment horizontal="center" vertical="center"/>
    </xf>
  </cellXfs>
  <cellStyles count="7">
    <cellStyle name="Comma" xfId="1" builtinId="3"/>
    <cellStyle name="Comma 2" xfId="5" xr:uid="{9EBA2B1D-E36B-4742-8D99-2F4FB0DC575D}"/>
    <cellStyle name="Normal" xfId="0" builtinId="0"/>
    <cellStyle name="Normal 2" xfId="3" xr:uid="{5EE4AFD1-7E82-4184-86C7-550A887E31E6}"/>
    <cellStyle name="Normal 2 2" xfId="6" xr:uid="{87EFDFD5-06B1-4798-8B9F-7CC2E6384A96}"/>
    <cellStyle name="Normal 3" xfId="4" xr:uid="{5DB25CD9-8A6F-4735-8968-2D25F7546679}"/>
    <cellStyle name="Percent" xfId="2" builtinId="5"/>
  </cellStyles>
  <dxfs count="43">
    <dxf>
      <font>
        <b val="0"/>
        <i val="0"/>
        <strike val="0"/>
        <condense val="0"/>
        <extend val="0"/>
        <outline val="0"/>
        <shadow val="0"/>
        <u val="none"/>
        <vertAlign val="baseline"/>
        <sz val="8"/>
        <color theme="1"/>
        <name val="Aptos Narrow"/>
        <family val="2"/>
        <scheme val="minor"/>
      </font>
      <numFmt numFmtId="166" formatCode="_ * #,##0_ ;_ * \-#,##0_ ;_ * &quot;-&quot;??_ ;_ @_ "/>
    </dxf>
    <dxf>
      <font>
        <b val="0"/>
        <i val="0"/>
        <strike val="0"/>
        <condense val="0"/>
        <extend val="0"/>
        <outline val="0"/>
        <shadow val="0"/>
        <u val="none"/>
        <vertAlign val="baseline"/>
        <sz val="8"/>
        <color theme="1"/>
        <name val="Aptos Narrow"/>
        <family val="2"/>
        <scheme val="minor"/>
      </font>
      <numFmt numFmtId="166" formatCode="_ * #,##0_ ;_ * \-#,##0_ ;_ * &quot;-&quot;??_ ;_ @_ "/>
    </dxf>
    <dxf>
      <font>
        <b val="0"/>
        <i val="0"/>
        <strike val="0"/>
        <condense val="0"/>
        <extend val="0"/>
        <outline val="0"/>
        <shadow val="0"/>
        <u val="none"/>
        <vertAlign val="baseline"/>
        <sz val="8"/>
        <color theme="1"/>
        <name val="Aptos Narrow"/>
        <family val="2"/>
        <scheme val="minor"/>
      </font>
      <numFmt numFmtId="166" formatCode="_ * #,##0_ ;_ * \-#,##0_ ;_ * &quot;-&quot;??_ ;_ @_ "/>
    </dxf>
    <dxf>
      <font>
        <b val="0"/>
        <i val="0"/>
        <strike val="0"/>
        <condense val="0"/>
        <extend val="0"/>
        <outline val="0"/>
        <shadow val="0"/>
        <u val="none"/>
        <vertAlign val="baseline"/>
        <sz val="8"/>
        <color theme="1"/>
        <name val="Aptos Narrow"/>
        <family val="2"/>
        <scheme val="minor"/>
      </font>
      <numFmt numFmtId="166" formatCode="_ * #,##0_ ;_ * \-#,##0_ ;_ * &quot;-&quot;??_ ;_ @_ "/>
    </dxf>
    <dxf>
      <font>
        <b val="0"/>
        <i val="0"/>
        <strike val="0"/>
        <condense val="0"/>
        <extend val="0"/>
        <outline val="0"/>
        <shadow val="0"/>
        <u val="none"/>
        <vertAlign val="baseline"/>
        <sz val="8"/>
        <color theme="1"/>
        <name val="Aptos Narrow"/>
        <family val="2"/>
        <scheme val="minor"/>
      </font>
      <numFmt numFmtId="166" formatCode="_ * #,##0_ ;_ * \-#,##0_ ;_ * &quot;-&quot;??_ ;_ @_ "/>
    </dxf>
    <dxf>
      <font>
        <b val="0"/>
        <i val="0"/>
        <strike val="0"/>
        <condense val="0"/>
        <extend val="0"/>
        <outline val="0"/>
        <shadow val="0"/>
        <u val="none"/>
        <vertAlign val="baseline"/>
        <sz val="8"/>
        <color theme="1"/>
        <name val="Aptos Narrow"/>
        <family val="2"/>
        <scheme val="minor"/>
      </font>
      <numFmt numFmtId="166" formatCode="_ * #,##0_ ;_ * \-#,##0_ ;_ * &quot;-&quot;??_ ;_ @_ "/>
    </dxf>
    <dxf>
      <font>
        <b val="0"/>
        <i val="0"/>
        <strike val="0"/>
        <condense val="0"/>
        <extend val="0"/>
        <outline val="0"/>
        <shadow val="0"/>
        <u val="none"/>
        <vertAlign val="baseline"/>
        <sz val="8"/>
        <color theme="1"/>
        <name val="Aptos Narrow"/>
        <family val="2"/>
        <scheme val="minor"/>
      </font>
    </dxf>
    <dxf>
      <font>
        <b val="0"/>
        <i val="0"/>
        <strike val="0"/>
        <condense val="0"/>
        <extend val="0"/>
        <outline val="0"/>
        <shadow val="0"/>
        <u val="none"/>
        <vertAlign val="baseline"/>
        <sz val="8"/>
        <color theme="1"/>
        <name val="Aptos Narrow"/>
        <family val="2"/>
        <scheme val="minor"/>
      </font>
    </dxf>
    <dxf>
      <font>
        <b/>
        <i val="0"/>
        <strike val="0"/>
        <condense val="0"/>
        <extend val="0"/>
        <outline val="0"/>
        <shadow val="0"/>
        <u val="none"/>
        <vertAlign val="baseline"/>
        <sz val="8"/>
        <color theme="1"/>
        <name val="Aptos Narrow"/>
        <family val="2"/>
        <scheme val="minor"/>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numFmt numFmtId="166" formatCode="_ * #,##0_ ;_ * \-#,##0_ ;_ * &quot;-&quot;??_ ;_ @_ "/>
    </dxf>
    <dxf>
      <fill>
        <patternFill patternType="solid">
          <bgColor theme="0"/>
        </patternFill>
      </fill>
    </dxf>
    <dxf>
      <fill>
        <patternFill patternType="solid">
          <bgColor theme="0"/>
        </patternFill>
      </fill>
    </dxf>
    <dxf>
      <numFmt numFmtId="166" formatCode="_ * #,##0_ ;_ * \-#,##0_ ;_ * &quot;-&quot;??_ ;_ @_ "/>
    </dxf>
    <dxf>
      <font>
        <strike val="0"/>
        <outline val="0"/>
        <shadow val="0"/>
        <u val="none"/>
        <vertAlign val="baseline"/>
        <sz val="8"/>
        <color theme="1"/>
        <name val="Aptos Narrow"/>
        <family val="2"/>
        <scheme val="minor"/>
      </font>
      <numFmt numFmtId="164" formatCode="_ [$€-2]\ * #,##0_ ;_ [$€-2]\ * \-#,##0_ ;_ [$€-2]\ * &quot;-&quot;??_ ;_ @_ "/>
    </dxf>
    <dxf>
      <font>
        <strike val="0"/>
        <outline val="0"/>
        <shadow val="0"/>
        <u val="none"/>
        <vertAlign val="baseline"/>
        <sz val="8"/>
        <color theme="1"/>
        <name val="Aptos Narrow"/>
        <family val="2"/>
        <scheme val="minor"/>
      </font>
      <numFmt numFmtId="164" formatCode="_ [$€-2]\ * #,##0_ ;_ [$€-2]\ * \-#,##0_ ;_ [$€-2]\ * &quot;-&quot;??_ ;_ @_ "/>
    </dxf>
    <dxf>
      <font>
        <strike val="0"/>
        <outline val="0"/>
        <shadow val="0"/>
        <u val="none"/>
        <vertAlign val="baseline"/>
        <sz val="8"/>
        <color theme="1"/>
        <name val="Aptos Narrow"/>
        <family val="2"/>
        <scheme val="minor"/>
      </font>
      <numFmt numFmtId="164" formatCode="_ [$€-2]\ * #,##0_ ;_ [$€-2]\ * \-#,##0_ ;_ [$€-2]\ * &quot;-&quot;??_ ;_ @_ "/>
    </dxf>
    <dxf>
      <font>
        <strike val="0"/>
        <outline val="0"/>
        <shadow val="0"/>
        <u val="none"/>
        <vertAlign val="baseline"/>
        <sz val="8"/>
        <color theme="1"/>
        <name val="Aptos Narrow"/>
        <family val="2"/>
        <scheme val="minor"/>
      </font>
      <numFmt numFmtId="164" formatCode="_ [$€-2]\ * #,##0_ ;_ [$€-2]\ * \-#,##0_ ;_ [$€-2]\ * &quot;-&quot;??_ ;_ @_ "/>
    </dxf>
    <dxf>
      <font>
        <strike val="0"/>
        <outline val="0"/>
        <shadow val="0"/>
        <u val="none"/>
        <vertAlign val="baseline"/>
        <sz val="8"/>
        <color theme="1"/>
        <name val="Aptos Narrow"/>
        <family val="2"/>
        <scheme val="minor"/>
      </font>
      <numFmt numFmtId="164" formatCode="_ [$€-2]\ * #,##0_ ;_ [$€-2]\ * \-#,##0_ ;_ [$€-2]\ * &quot;-&quot;??_ ;_ @_ "/>
    </dxf>
    <dxf>
      <font>
        <strike val="0"/>
        <outline val="0"/>
        <shadow val="0"/>
        <u val="none"/>
        <vertAlign val="baseline"/>
        <sz val="8"/>
        <color theme="1"/>
        <name val="Aptos Narrow"/>
        <family val="2"/>
        <scheme val="minor"/>
      </font>
      <numFmt numFmtId="164" formatCode="_ [$€-2]\ * #,##0_ ;_ [$€-2]\ * \-#,##0_ ;_ [$€-2]\ * &quot;-&quot;??_ ;_ @_ "/>
    </dxf>
    <dxf>
      <font>
        <strike val="0"/>
        <outline val="0"/>
        <shadow val="0"/>
        <u val="none"/>
        <vertAlign val="baseline"/>
        <sz val="8"/>
        <color theme="1"/>
        <name val="Aptos Narrow"/>
        <family val="2"/>
        <scheme val="minor"/>
      </font>
    </dxf>
    <dxf>
      <font>
        <strike val="0"/>
        <outline val="0"/>
        <shadow val="0"/>
        <u val="none"/>
        <vertAlign val="baseline"/>
        <sz val="8"/>
        <color theme="1"/>
        <name val="Aptos Narrow"/>
        <family val="2"/>
        <scheme val="minor"/>
      </font>
    </dxf>
    <dxf>
      <font>
        <strike val="0"/>
        <outline val="0"/>
        <shadow val="0"/>
        <u val="none"/>
        <vertAlign val="baseline"/>
        <sz val="8"/>
        <color theme="1"/>
        <name val="Aptos Narrow"/>
        <family val="2"/>
        <scheme val="minor"/>
      </font>
    </dxf>
    <dxf>
      <font>
        <strike val="0"/>
        <outline val="0"/>
        <shadow val="0"/>
        <u val="none"/>
        <vertAlign val="baseline"/>
        <sz val="8"/>
        <color theme="1"/>
        <name val="Aptos Narrow"/>
        <family val="2"/>
        <scheme val="minor"/>
      </font>
      <numFmt numFmtId="164" formatCode="_ [$€-2]\ * #,##0_ ;_ [$€-2]\ * \-#,##0_ ;_ [$€-2]\ * &quot;-&quot;??_ ;_ @_ "/>
    </dxf>
    <dxf>
      <font>
        <strike val="0"/>
        <outline val="0"/>
        <shadow val="0"/>
        <u val="none"/>
        <vertAlign val="baseline"/>
        <sz val="8"/>
        <color theme="1"/>
        <name val="Aptos Narrow"/>
        <family val="2"/>
        <scheme val="minor"/>
      </font>
      <numFmt numFmtId="164" formatCode="_ [$€-2]\ * #,##0_ ;_ [$€-2]\ * \-#,##0_ ;_ [$€-2]\ * &quot;-&quot;??_ ;_ @_ "/>
    </dxf>
    <dxf>
      <font>
        <strike val="0"/>
        <outline val="0"/>
        <shadow val="0"/>
        <u val="none"/>
        <vertAlign val="baseline"/>
        <sz val="8"/>
        <color theme="1"/>
        <name val="Aptos Narrow"/>
        <family val="2"/>
        <scheme val="minor"/>
      </font>
      <numFmt numFmtId="164" formatCode="_ [$€-2]\ * #,##0_ ;_ [$€-2]\ * \-#,##0_ ;_ [$€-2]\ * &quot;-&quot;??_ ;_ @_ "/>
    </dxf>
    <dxf>
      <font>
        <strike val="0"/>
        <outline val="0"/>
        <shadow val="0"/>
        <u val="none"/>
        <vertAlign val="baseline"/>
        <sz val="8"/>
        <color theme="1"/>
        <name val="Aptos Narrow"/>
        <family val="2"/>
        <scheme val="minor"/>
      </font>
      <numFmt numFmtId="164" formatCode="_ [$€-2]\ * #,##0_ ;_ [$€-2]\ * \-#,##0_ ;_ [$€-2]\ * &quot;-&quot;??_ ;_ @_ "/>
    </dxf>
    <dxf>
      <font>
        <strike val="0"/>
        <outline val="0"/>
        <shadow val="0"/>
        <u val="none"/>
        <vertAlign val="baseline"/>
        <sz val="8"/>
        <color theme="1"/>
        <name val="Aptos Narrow"/>
        <family val="2"/>
        <scheme val="minor"/>
      </font>
      <numFmt numFmtId="164" formatCode="_ [$€-2]\ * #,##0_ ;_ [$€-2]\ * \-#,##0_ ;_ [$€-2]\ * &quot;-&quot;??_ ;_ @_ "/>
    </dxf>
    <dxf>
      <font>
        <strike val="0"/>
        <outline val="0"/>
        <shadow val="0"/>
        <u val="none"/>
        <vertAlign val="baseline"/>
        <sz val="8"/>
        <color theme="1"/>
        <name val="Aptos Narrow"/>
        <family val="2"/>
        <scheme val="minor"/>
      </font>
      <numFmt numFmtId="164" formatCode="_ [$€-2]\ * #,##0_ ;_ [$€-2]\ * \-#,##0_ ;_ [$€-2]\ * &quot;-&quot;??_ ;_ @_ "/>
    </dxf>
    <dxf>
      <font>
        <strike val="0"/>
        <outline val="0"/>
        <shadow val="0"/>
        <u val="none"/>
        <vertAlign val="baseline"/>
        <sz val="8"/>
        <color theme="1"/>
        <name val="Aptos Narrow"/>
        <family val="2"/>
        <scheme val="minor"/>
      </font>
    </dxf>
    <dxf>
      <font>
        <strike val="0"/>
        <outline val="0"/>
        <shadow val="0"/>
        <u val="none"/>
        <vertAlign val="baseline"/>
        <sz val="8"/>
        <color theme="1"/>
        <name val="Aptos Narrow"/>
        <family val="2"/>
        <scheme val="minor"/>
      </font>
    </dxf>
    <dxf>
      <font>
        <strike val="0"/>
        <outline val="0"/>
        <shadow val="0"/>
        <u val="none"/>
        <vertAlign val="baseline"/>
        <sz val="8"/>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microsoft.com/office/2006/relationships/xlExternalLinkPath/xlPathMissing" Target="business_case_barberton_V2.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ris kroese" refreshedDate="46058.720817476853" createdVersion="8" refreshedVersion="8" minRefreshableVersion="3" recordCount="80" xr:uid="{4E56CA68-722F-48A7-9446-A0A27DC96B19}">
  <cacheSource type="worksheet">
    <worksheetSource ref="A1:W1048576" sheet="Orchard"/>
  </cacheSource>
  <cacheFields count="23">
    <cacheField name="Block name" numFmtId="0">
      <sharedItems containsBlank="1" containsMixedTypes="1" containsNumber="1" containsInteger="1" minValue="1" maxValue="1"/>
    </cacheField>
    <cacheField name="Cultivar" numFmtId="0">
      <sharedItems containsBlank="1" containsMixedTypes="1" containsNumber="1" containsInteger="1" minValue="816" maxValue="816" count="6">
        <s v="695 Beaumont"/>
        <s v="816"/>
        <s v="A4"/>
        <s v="Nelmac 2"/>
        <m/>
        <n v="816" u="1"/>
      </sharedItems>
    </cacheField>
    <cacheField name="Trees/ ha" numFmtId="0">
      <sharedItems containsString="0" containsBlank="1" containsNumber="1" containsInteger="1" minValue="204" maxValue="476"/>
    </cacheField>
    <cacheField name="Ha volgens oes data" numFmtId="167">
      <sharedItems containsString="0" containsBlank="1" containsNumber="1" minValue="1.2" maxValue="4.8499999999999996"/>
    </cacheField>
    <cacheField name="Ha" numFmtId="0">
      <sharedItems containsString="0" containsBlank="1" containsNumber="1" minValue="0.3" maxValue="12"/>
    </cacheField>
    <cacheField name="No of trees" numFmtId="0">
      <sharedItems containsString="0" containsBlank="1" containsNumber="1" minValue="142.80000000000001" maxValue="4992"/>
    </cacheField>
    <cacheField name="Spacing" numFmtId="0">
      <sharedItems containsBlank="1"/>
    </cacheField>
    <cacheField name="Irrigation" numFmtId="0">
      <sharedItems containsBlank="1"/>
    </cacheField>
    <cacheField name="Plant date" numFmtId="0">
      <sharedItems containsNonDate="0" containsDate="1" containsString="0" containsBlank="1" minDate="2015-11-05T00:00:00" maxDate="2022-01-08T00:00:00"/>
    </cacheField>
    <cacheField name="Age" numFmtId="0">
      <sharedItems containsString="0" containsBlank="1" containsNumber="1" containsInteger="1" minValue="6" maxValue="10"/>
    </cacheField>
    <cacheField name="DNIS 2023 " numFmtId="0">
      <sharedItems containsString="0" containsBlank="1" containsNumber="1" minValue="811.6875" maxValue="42284.160000000003" count="36">
        <n v="6728.4000000000005"/>
        <n v="2430"/>
        <n v="5246.64"/>
        <n v="6434.64"/>
        <n v="4235.76"/>
        <n v="2324.16"/>
        <n v="6426"/>
        <n v="6147.3600000000006"/>
        <n v="4726.08"/>
        <n v="14463.36"/>
        <n v="15994.800000000001"/>
        <n v="6268.32"/>
        <n v="3507.84"/>
        <n v="10240.56"/>
        <n v="6130.08"/>
        <n v="2963.52"/>
        <n v="2423.52"/>
        <n v="5002.5600000000004"/>
        <m/>
        <n v="13497.84"/>
        <n v="42284.160000000003"/>
        <n v="5929.2"/>
        <n v="6847.2"/>
        <n v="38705.040000000001"/>
        <n v="15132.960000000001"/>
        <n v="4099.68"/>
        <n v="28920.240000000002"/>
        <n v="20671.2"/>
        <n v="1508.49"/>
        <n v="811.6875"/>
        <n v="2127.87"/>
        <n v="5179.8149999999996"/>
        <n v="7457.5349999999999"/>
        <n v="7902.09"/>
        <n v="4666.6125000000002"/>
        <n v="4843.8"/>
      </sharedItems>
    </cacheField>
    <cacheField name="DNIS 2024" numFmtId="0">
      <sharedItems containsString="0" containsBlank="1" containsNumber="1" containsInteger="1" minValue="1588" maxValue="87862"/>
    </cacheField>
    <cacheField name="DNIS 2025" numFmtId="0">
      <sharedItems containsString="0" containsBlank="1" containsNumber="1" containsInteger="1" minValue="719" maxValue="71924"/>
    </cacheField>
    <cacheField name="2026" numFmtId="0">
      <sharedItems containsString="0" containsBlank="1" containsNumber="1" minValue="1268.8500000000001" maxValue="79893"/>
    </cacheField>
    <cacheField name="2027" numFmtId="0">
      <sharedItems containsString="0" containsBlank="1" containsNumber="1" minValue="1395.7350000000004" maxValue="79893"/>
    </cacheField>
    <cacheField name="2028" numFmtId="0">
      <sharedItems containsString="0" containsBlank="1" containsNumber="1" minValue="1535.3085000000005" maxValue="79893"/>
    </cacheField>
    <cacheField name="2029" numFmtId="0">
      <sharedItems containsString="0" containsBlank="1" containsNumber="1" minValue="1688.8393500000006" maxValue="79893"/>
    </cacheField>
    <cacheField name="2030" numFmtId="0">
      <sharedItems containsString="0" containsBlank="1" containsNumber="1" minValue="1688.8393500000006" maxValue="79893"/>
    </cacheField>
    <cacheField name="2031" numFmtId="0">
      <sharedItems containsString="0" containsBlank="1" containsNumber="1" minValue="1688.8393500000006" maxValue="79893"/>
    </cacheField>
    <cacheField name="2032" numFmtId="0">
      <sharedItems containsString="0" containsBlank="1" containsNumber="1" minValue="1688.8393500000006" maxValue="79893"/>
    </cacheField>
    <cacheField name="2033" numFmtId="0">
      <sharedItems containsString="0" containsBlank="1" containsNumber="1" minValue="1688.8393500000006" maxValue="79893"/>
    </cacheField>
    <cacheField name="2034" numFmtId="0">
      <sharedItems containsString="0" containsBlank="1" containsNumber="1" minValue="1688.8393500000006" maxValue="79893"/>
    </cacheField>
    <cacheField name="2035" numFmtId="0">
      <sharedItems containsString="0" containsBlank="1" containsNumber="1" minValue="1688.8393500000006" maxValue="79893"/>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ris kroese" refreshedDate="46058.947163888886" createdVersion="8" refreshedVersion="8" minRefreshableVersion="3" recordCount="60" xr:uid="{1220EAA7-7CF4-4643-A9C1-D94065A45BE0}">
  <cacheSource type="worksheet">
    <worksheetSource ref="A2:H62" sheet="Pivot_JK" r:id="rId2"/>
  </cacheSource>
  <cacheFields count="8">
    <cacheField name="block" numFmtId="0">
      <sharedItems/>
    </cacheField>
    <cacheField name="variety" numFmtId="0">
      <sharedItems containsMixedTypes="1" containsNumber="1" containsInteger="1" minValue="788" maxValue="816" count="8">
        <s v="BMT"/>
        <n v="788"/>
        <n v="816"/>
        <s v="DAD"/>
        <s v="A4"/>
        <n v="814"/>
        <s v="MIX"/>
        <s v="A16"/>
      </sharedItems>
    </cacheField>
    <cacheField name="ha" numFmtId="0">
      <sharedItems containsSemiMixedTypes="0" containsString="0" containsNumber="1" minValue="0.2" maxValue="5.8"/>
    </cacheField>
    <cacheField name="2026" numFmtId="169">
      <sharedItems containsSemiMixedTypes="0" containsString="0" containsNumber="1" minValue="0" maxValue="21553.982735999998"/>
    </cacheField>
    <cacheField name="2027" numFmtId="169">
      <sharedItems containsSemiMixedTypes="0" containsString="0" containsNumber="1" minValue="0" maxValue="23709.381009600002"/>
    </cacheField>
    <cacheField name="2028" numFmtId="169">
      <sharedItems containsSemiMixedTypes="0" containsString="0" containsNumber="1" minValue="0" maxValue="26080.319110560005"/>
    </cacheField>
    <cacheField name="2029" numFmtId="169">
      <sharedItems containsSemiMixedTypes="0" containsString="0" containsNumber="1" minValue="0" maxValue="28688.35102161601"/>
    </cacheField>
    <cacheField name="2030" numFmtId="169">
      <sharedItems containsSemiMixedTypes="0" containsString="0" containsNumber="1" minValue="0" maxValue="31557.1861237776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
  <r>
    <n v="1"/>
    <x v="0"/>
    <n v="476"/>
    <m/>
    <n v="2.4500000000000002"/>
    <n v="1166.2"/>
    <s v="7.00 X 3.00"/>
    <s v="Micros"/>
    <d v="2015-11-05T00:00:00"/>
    <n v="10"/>
    <x v="0"/>
    <n v="13265"/>
    <n v="11169"/>
    <n v="12217"/>
    <n v="12217"/>
    <n v="12217"/>
    <n v="12217"/>
    <n v="12217"/>
    <n v="12217"/>
    <n v="12217"/>
    <n v="12217"/>
    <n v="12217"/>
    <n v="12217"/>
  </r>
  <r>
    <s v="2"/>
    <x v="0"/>
    <n v="476"/>
    <m/>
    <n v="0.81"/>
    <n v="385.56"/>
    <s v="7.00 X 3.00"/>
    <s v="Micros"/>
    <d v="2015-11-05T00:00:00"/>
    <n v="10"/>
    <x v="1"/>
    <n v="4177"/>
    <n v="4996"/>
    <n v="4586.5"/>
    <n v="4586.5"/>
    <n v="4586.5"/>
    <n v="4586.5"/>
    <n v="4586.5"/>
    <n v="4586.5"/>
    <n v="4586.5"/>
    <n v="4586.5"/>
    <n v="4586.5"/>
    <n v="4586.5"/>
  </r>
  <r>
    <s v="3"/>
    <x v="0"/>
    <n v="476"/>
    <m/>
    <n v="2"/>
    <n v="952"/>
    <s v="7.00 X 3.00"/>
    <s v="Micros"/>
    <d v="2015-11-05T00:00:00"/>
    <n v="10"/>
    <x v="2"/>
    <n v="12512"/>
    <n v="10822"/>
    <n v="11667"/>
    <n v="11667"/>
    <n v="11667"/>
    <n v="11667"/>
    <n v="11667"/>
    <n v="11667"/>
    <n v="11667"/>
    <n v="11667"/>
    <n v="11667"/>
    <n v="11667"/>
  </r>
  <r>
    <s v="4"/>
    <x v="0"/>
    <n v="476"/>
    <n v="2"/>
    <n v="2.25"/>
    <n v="1071"/>
    <s v="7.00 X 3.00"/>
    <s v="Micros"/>
    <d v="2015-11-05T00:00:00"/>
    <n v="10"/>
    <x v="3"/>
    <n v="12072"/>
    <n v="12528"/>
    <n v="12300"/>
    <n v="12300"/>
    <n v="12300"/>
    <n v="12300"/>
    <n v="12300"/>
    <n v="12300"/>
    <n v="12300"/>
    <n v="12300"/>
    <n v="12300"/>
    <n v="12300"/>
  </r>
  <r>
    <s v="5"/>
    <x v="0"/>
    <n v="476"/>
    <m/>
    <n v="1.45"/>
    <n v="690.2"/>
    <s v="7.00 X 3.00"/>
    <s v="Micros"/>
    <d v="2015-11-05T00:00:00"/>
    <n v="10"/>
    <x v="4"/>
    <n v="8303"/>
    <n v="7219"/>
    <n v="7761"/>
    <n v="7761"/>
    <n v="7761"/>
    <n v="7761"/>
    <n v="7761"/>
    <n v="7761"/>
    <n v="7761"/>
    <n v="7761"/>
    <n v="7761"/>
    <n v="7761"/>
  </r>
  <r>
    <s v="6"/>
    <x v="0"/>
    <n v="476"/>
    <m/>
    <n v="0.6"/>
    <n v="285.60000000000002"/>
    <s v="7.00 X 3.00"/>
    <s v="Micros"/>
    <d v="2015-11-05T00:00:00"/>
    <n v="10"/>
    <x v="5"/>
    <n v="4025"/>
    <n v="3465"/>
    <n v="3745"/>
    <n v="3745"/>
    <n v="3745"/>
    <n v="3745"/>
    <n v="3745"/>
    <n v="3745"/>
    <n v="3745"/>
    <n v="3745"/>
    <n v="3745"/>
    <n v="3745"/>
  </r>
  <r>
    <s v="7"/>
    <x v="0"/>
    <n v="476"/>
    <m/>
    <n v="1.62"/>
    <n v="771.12"/>
    <s v="7.00 X 3.00"/>
    <s v="Micros"/>
    <d v="2015-11-05T00:00:00"/>
    <n v="10"/>
    <x v="6"/>
    <n v="8827"/>
    <n v="8251"/>
    <n v="8539"/>
    <n v="8539"/>
    <n v="8539"/>
    <n v="8539"/>
    <n v="8539"/>
    <n v="8539"/>
    <n v="8539"/>
    <n v="8539"/>
    <n v="8539"/>
    <n v="8539"/>
  </r>
  <r>
    <s v="8"/>
    <x v="0"/>
    <n v="476"/>
    <m/>
    <n v="1.55"/>
    <n v="737.8"/>
    <s v="7.00 X 3.00"/>
    <s v="Micros"/>
    <d v="2015-11-05T00:00:00"/>
    <n v="10"/>
    <x v="7"/>
    <n v="8675"/>
    <n v="7599"/>
    <n v="8137"/>
    <n v="8137"/>
    <n v="8137"/>
    <n v="8137"/>
    <n v="8137"/>
    <n v="8137"/>
    <n v="8137"/>
    <n v="8137"/>
    <n v="8137"/>
    <n v="8137"/>
  </r>
  <r>
    <s v="9"/>
    <x v="0"/>
    <n v="476"/>
    <m/>
    <n v="1.33"/>
    <n v="633.08000000000004"/>
    <s v="7.00 X 3.00"/>
    <s v="Micros"/>
    <d v="2015-11-05T00:00:00"/>
    <n v="10"/>
    <x v="8"/>
    <n v="4512"/>
    <n v="4480"/>
    <n v="4496"/>
    <n v="4496"/>
    <n v="4496"/>
    <n v="4496"/>
    <n v="4496"/>
    <n v="4496"/>
    <n v="4496"/>
    <n v="4496"/>
    <n v="4496"/>
    <n v="4496"/>
  </r>
  <r>
    <s v="Dallas Bo"/>
    <x v="0"/>
    <n v="476"/>
    <n v="4.8499999999999996"/>
    <n v="5"/>
    <n v="2380"/>
    <s v="7.00 X 3.00"/>
    <s v="Micros"/>
    <d v="2017-11-14T00:00:00"/>
    <n v="8"/>
    <x v="9"/>
    <n v="18337"/>
    <n v="17474"/>
    <n v="20591.324999999997"/>
    <n v="23680.023749999993"/>
    <n v="23680.023749999993"/>
    <n v="23680.023749999993"/>
    <n v="23680.023749999993"/>
    <n v="23680.023749999993"/>
    <n v="23680.023749999993"/>
    <n v="23680.023749999993"/>
    <n v="23680.023749999993"/>
    <n v="23680.023749999993"/>
  </r>
  <r>
    <s v="Dallas Fase 1"/>
    <x v="0"/>
    <n v="416"/>
    <n v="4.83"/>
    <n v="5"/>
    <n v="2080"/>
    <s v="8.00 X 3.00"/>
    <s v="Micros"/>
    <d v="2017-11-14T00:00:00"/>
    <n v="8"/>
    <x v="10"/>
    <n v="21394"/>
    <n v="17029"/>
    <n v="22093.224999999999"/>
    <n v="25407.208749999998"/>
    <n v="25407.208749999998"/>
    <n v="25407.208749999998"/>
    <n v="25407.208749999998"/>
    <n v="25407.208749999998"/>
    <n v="25407.208749999998"/>
    <n v="25407.208749999998"/>
    <n v="25407.208749999998"/>
    <n v="25407.208749999998"/>
  </r>
  <r>
    <s v="Dallas Fase 2"/>
    <x v="0"/>
    <n v="416"/>
    <m/>
    <n v="6"/>
    <n v="2496"/>
    <s v="8.00 X 3.00"/>
    <s v="Micros"/>
    <d v="2017-11-14T00:00:00"/>
    <n v="8"/>
    <x v="11"/>
    <n v="16129"/>
    <n v="13733"/>
    <n v="17170.649999999998"/>
    <n v="19746.247499999998"/>
    <n v="19746.247499999998"/>
    <n v="19746.247499999998"/>
    <n v="19746.247499999998"/>
    <n v="19746.247499999998"/>
    <n v="19746.247499999998"/>
    <n v="19746.247499999998"/>
    <n v="19746.247499999998"/>
    <n v="19746.247499999998"/>
  </r>
  <r>
    <s v="Dallas Onder"/>
    <x v="0"/>
    <n v="307"/>
    <n v="4.3899999999999997"/>
    <n v="4"/>
    <n v="1228"/>
    <s v="6.50 X 5.00"/>
    <s v="Micros"/>
    <d v="2017-11-14T00:00:00"/>
    <n v="8"/>
    <x v="12"/>
    <n v="16262"/>
    <n v="9379"/>
    <n v="14743.574999999999"/>
    <n v="16955.111249999998"/>
    <n v="16955.111249999998"/>
    <n v="16955.111249999998"/>
    <n v="16955.111249999998"/>
    <n v="16955.111249999998"/>
    <n v="16955.111249999998"/>
    <n v="16955.111249999998"/>
    <n v="16955.111249999998"/>
    <n v="16955.111249999998"/>
  </r>
  <r>
    <s v="DM10"/>
    <x v="0"/>
    <n v="476"/>
    <n v="2.13"/>
    <n v="2.11"/>
    <n v="1004.36"/>
    <s v="7.00 X 3.00"/>
    <s v="Micros"/>
    <d v="2015-11-05T00:00:00"/>
    <n v="10"/>
    <x v="13"/>
    <n v="10474"/>
    <n v="6605"/>
    <n v="8539.5"/>
    <n v="8539.5"/>
    <n v="8539.5"/>
    <n v="8539.5"/>
    <n v="8539.5"/>
    <n v="8539.5"/>
    <n v="8539.5"/>
    <n v="8539.5"/>
    <n v="8539.5"/>
    <n v="8539.5"/>
  </r>
  <r>
    <s v="DM11"/>
    <x v="0"/>
    <n v="476"/>
    <m/>
    <n v="1.7"/>
    <n v="809.2"/>
    <s v="7.00 X 3.00"/>
    <s v="Micros"/>
    <d v="2015-11-05T00:00:00"/>
    <n v="10"/>
    <x v="14"/>
    <n v="5710"/>
    <n v="5301"/>
    <n v="5505.5"/>
    <n v="5505.5"/>
    <n v="5505.5"/>
    <n v="5505.5"/>
    <n v="5505.5"/>
    <n v="5505.5"/>
    <n v="5505.5"/>
    <n v="5505.5"/>
    <n v="5505.5"/>
    <n v="5505.5"/>
  </r>
  <r>
    <s v="DM12"/>
    <x v="0"/>
    <n v="476"/>
    <m/>
    <n v="1"/>
    <n v="476"/>
    <s v="7.00 X 3.00"/>
    <s v="Micros"/>
    <d v="2015-11-05T00:00:00"/>
    <n v="10"/>
    <x v="15"/>
    <n v="5724"/>
    <n v="3588"/>
    <n v="4656"/>
    <n v="4656"/>
    <n v="4656"/>
    <n v="4656"/>
    <n v="4656"/>
    <n v="4656"/>
    <n v="4656"/>
    <n v="4656"/>
    <n v="4656"/>
    <n v="4656"/>
  </r>
  <r>
    <s v="DM13"/>
    <x v="0"/>
    <n v="476"/>
    <m/>
    <n v="0.83"/>
    <n v="395.08"/>
    <s v="7.00 X 3.00"/>
    <s v="Micros"/>
    <d v="2015-11-05T00:00:00"/>
    <n v="10"/>
    <x v="16"/>
    <n v="3062"/>
    <n v="2175"/>
    <n v="2618.5"/>
    <n v="2618.5"/>
    <n v="2618.5"/>
    <n v="2618.5"/>
    <n v="2618.5"/>
    <n v="2618.5"/>
    <n v="2618.5"/>
    <n v="2618.5"/>
    <n v="2618.5"/>
    <n v="2618.5"/>
  </r>
  <r>
    <s v="DM15"/>
    <x v="0"/>
    <n v="476"/>
    <m/>
    <n v="0.3"/>
    <n v="142.80000000000001"/>
    <s v="7.00 X 3.00"/>
    <s v="Micros"/>
    <d v="2015-11-05T00:00:00"/>
    <n v="10"/>
    <x v="17"/>
    <n v="6155"/>
    <n v="5171"/>
    <n v="5663"/>
    <n v="5663"/>
    <n v="5663"/>
    <n v="5663"/>
    <n v="5663"/>
    <n v="5663"/>
    <n v="5663"/>
    <n v="5663"/>
    <n v="5663"/>
    <n v="5663"/>
  </r>
  <r>
    <s v="DM16"/>
    <x v="0"/>
    <n v="476"/>
    <n v="1.2"/>
    <n v="1.1100000000000001"/>
    <n v="528.36"/>
    <s v="7.00 X 3.00"/>
    <s v="Micros"/>
    <d v="2015-11-05T00:00:00"/>
    <n v="10"/>
    <x v="18"/>
    <m/>
    <m/>
    <m/>
    <m/>
    <m/>
    <m/>
    <m/>
    <m/>
    <m/>
    <m/>
    <m/>
    <m/>
  </r>
  <r>
    <s v="DM19"/>
    <x v="0"/>
    <n v="312"/>
    <m/>
    <n v="1.45"/>
    <n v="452.4"/>
    <s v="8.00 X 4.00"/>
    <s v="Micros"/>
    <d v="2015-11-05T00:00:00"/>
    <n v="10"/>
    <x v="19"/>
    <n v="17699"/>
    <n v="14986"/>
    <n v="16342.5"/>
    <n v="16342.5"/>
    <n v="16342.5"/>
    <n v="16342.5"/>
    <n v="16342.5"/>
    <n v="16342.5"/>
    <n v="16342.5"/>
    <n v="16342.5"/>
    <n v="16342.5"/>
    <n v="16342.5"/>
  </r>
  <r>
    <s v="DM20"/>
    <x v="0"/>
    <n v="312"/>
    <m/>
    <n v="0.52"/>
    <n v="162.24"/>
    <s v="8.00 X 4.00"/>
    <s v="Micros"/>
    <d v="2015-11-05T00:00:00"/>
    <n v="10"/>
    <x v="18"/>
    <m/>
    <m/>
    <m/>
    <m/>
    <m/>
    <m/>
    <m/>
    <m/>
    <m/>
    <m/>
    <m/>
    <m/>
  </r>
  <r>
    <s v="DM21"/>
    <x v="0"/>
    <n v="312"/>
    <m/>
    <n v="1.06"/>
    <n v="330.72"/>
    <s v="8.00 X 4.00"/>
    <s v="Micros"/>
    <d v="2015-11-05T00:00:00"/>
    <n v="10"/>
    <x v="18"/>
    <m/>
    <m/>
    <m/>
    <m/>
    <m/>
    <m/>
    <m/>
    <m/>
    <m/>
    <m/>
    <m/>
    <m/>
  </r>
  <r>
    <s v="DM22"/>
    <x v="0"/>
    <n v="312"/>
    <m/>
    <n v="1.26"/>
    <n v="393.12"/>
    <s v="8.00 X 4.00"/>
    <s v="Micros"/>
    <d v="2015-11-05T00:00:00"/>
    <n v="10"/>
    <x v="18"/>
    <m/>
    <m/>
    <m/>
    <m/>
    <m/>
    <m/>
    <m/>
    <m/>
    <m/>
    <m/>
    <m/>
    <m/>
  </r>
  <r>
    <s v="L1"/>
    <x v="0"/>
    <n v="416"/>
    <m/>
    <n v="3.76"/>
    <n v="1564.16"/>
    <s v="7.00 X 3.43"/>
    <s v="Micros"/>
    <d v="2022-01-07T00:00:00"/>
    <n v="10"/>
    <x v="20"/>
    <n v="87862"/>
    <n v="71924"/>
    <n v="79893"/>
    <n v="79893"/>
    <n v="79893"/>
    <n v="79893"/>
    <n v="79893"/>
    <n v="79893"/>
    <n v="79893"/>
    <n v="79893"/>
    <n v="79893"/>
    <n v="79893"/>
  </r>
  <r>
    <s v="L2"/>
    <x v="0"/>
    <n v="416"/>
    <m/>
    <n v="3.73"/>
    <n v="1551.68"/>
    <s v="7.00 X 3.43"/>
    <s v="Micros"/>
    <d v="2022-01-07T00:00:00"/>
    <n v="10"/>
    <x v="18"/>
    <m/>
    <m/>
    <m/>
    <m/>
    <m/>
    <m/>
    <m/>
    <m/>
    <m/>
    <m/>
    <m/>
    <m/>
  </r>
  <r>
    <s v="L3"/>
    <x v="0"/>
    <n v="416"/>
    <m/>
    <n v="3.29"/>
    <n v="1368.64"/>
    <s v="7.00 X 3.43"/>
    <s v="Micros"/>
    <d v="2022-01-07T00:00:00"/>
    <n v="10"/>
    <x v="18"/>
    <m/>
    <m/>
    <m/>
    <m/>
    <m/>
    <m/>
    <m/>
    <m/>
    <m/>
    <m/>
    <m/>
    <m/>
  </r>
  <r>
    <s v="L4"/>
    <x v="0"/>
    <n v="416"/>
    <m/>
    <n v="3.34"/>
    <n v="1389.44"/>
    <s v="7.00 X 3.43"/>
    <s v="Micros"/>
    <d v="2022-01-07T00:00:00"/>
    <n v="10"/>
    <x v="18"/>
    <m/>
    <m/>
    <m/>
    <m/>
    <m/>
    <m/>
    <m/>
    <m/>
    <m/>
    <m/>
    <m/>
    <m/>
  </r>
  <r>
    <s v="L5"/>
    <x v="0"/>
    <n v="416"/>
    <m/>
    <n v="2.98"/>
    <n v="1239.68"/>
    <s v="7.00 X 3.43"/>
    <s v="Micros"/>
    <d v="2022-01-07T00:00:00"/>
    <n v="10"/>
    <x v="18"/>
    <m/>
    <m/>
    <m/>
    <m/>
    <m/>
    <m/>
    <m/>
    <m/>
    <m/>
    <m/>
    <m/>
    <m/>
  </r>
  <r>
    <s v="L6"/>
    <x v="0"/>
    <n v="416"/>
    <m/>
    <n v="3.65"/>
    <n v="1518.4"/>
    <s v="7.00 X 3.43"/>
    <s v="Micros"/>
    <d v="2022-01-07T00:00:00"/>
    <n v="10"/>
    <x v="18"/>
    <m/>
    <m/>
    <m/>
    <m/>
    <m/>
    <m/>
    <m/>
    <m/>
    <m/>
    <m/>
    <m/>
    <m/>
  </r>
  <r>
    <s v="Plaas 2 nr 1"/>
    <x v="0"/>
    <n v="312"/>
    <m/>
    <n v="1.26"/>
    <n v="393.12"/>
    <s v="8.00 X 4.00"/>
    <s v="Micros"/>
    <d v="2016-03-10T00:00:00"/>
    <n v="9"/>
    <x v="21"/>
    <n v="19090"/>
    <n v="7871"/>
    <n v="13480.5"/>
    <n v="13480.5"/>
    <n v="13480.5"/>
    <n v="13480.5"/>
    <n v="13480.5"/>
    <n v="13480.5"/>
    <n v="13480.5"/>
    <n v="13480.5"/>
    <n v="13480.5"/>
    <n v="13480.5"/>
  </r>
  <r>
    <s v="Plaas 2 nr 3"/>
    <x v="0"/>
    <n v="312"/>
    <m/>
    <n v="2"/>
    <n v="624"/>
    <s v="8.00 X 4.00"/>
    <s v="Micros"/>
    <d v="2016-03-10T00:00:00"/>
    <n v="9"/>
    <x v="18"/>
    <m/>
    <m/>
    <m/>
    <m/>
    <m/>
    <m/>
    <m/>
    <m/>
    <m/>
    <m/>
    <m/>
    <m/>
  </r>
  <r>
    <s v="Plaas 2 nr 5"/>
    <x v="0"/>
    <n v="312"/>
    <m/>
    <n v="1.85"/>
    <n v="577.20000000000005"/>
    <s v="8.00 X 4.00"/>
    <s v="Micros"/>
    <d v="2016-03-10T00:00:00"/>
    <n v="9"/>
    <x v="18"/>
    <m/>
    <m/>
    <m/>
    <m/>
    <m/>
    <m/>
    <m/>
    <m/>
    <m/>
    <m/>
    <m/>
    <m/>
  </r>
  <r>
    <s v="Plaas 2 nr 7"/>
    <x v="0"/>
    <n v="312"/>
    <m/>
    <n v="1.82"/>
    <n v="567.84"/>
    <s v="8.00 X 4.00"/>
    <s v="Micros"/>
    <d v="2016-03-10T00:00:00"/>
    <n v="9"/>
    <x v="22"/>
    <n v="15771"/>
    <n v="10809"/>
    <n v="13290"/>
    <n v="13290"/>
    <n v="13290"/>
    <n v="13290"/>
    <n v="13290"/>
    <n v="13290"/>
    <n v="13290"/>
    <n v="13290"/>
    <n v="13290"/>
    <n v="13290"/>
  </r>
  <r>
    <s v="Plaas 2 nr 9"/>
    <x v="0"/>
    <n v="312"/>
    <m/>
    <n v="1.65"/>
    <n v="514.79999999999995"/>
    <s v="8.00 X 4.00"/>
    <s v="Micros"/>
    <d v="2016-03-10T00:00:00"/>
    <n v="9"/>
    <x v="18"/>
    <m/>
    <m/>
    <m/>
    <m/>
    <m/>
    <m/>
    <m/>
    <m/>
    <m/>
    <m/>
    <m/>
    <m/>
  </r>
  <r>
    <s v="Plaas 2 nr 11"/>
    <x v="0"/>
    <n v="312"/>
    <m/>
    <n v="0.46"/>
    <n v="143.52000000000001"/>
    <s v="8.00 X 4.00"/>
    <s v="Micros"/>
    <d v="2016-03-10T00:00:00"/>
    <n v="9"/>
    <x v="18"/>
    <m/>
    <m/>
    <m/>
    <m/>
    <m/>
    <m/>
    <m/>
    <m/>
    <m/>
    <m/>
    <m/>
    <m/>
  </r>
  <r>
    <s v="Plaas 2 nr 13"/>
    <x v="0"/>
    <n v="312"/>
    <m/>
    <n v="1.95"/>
    <n v="608.4"/>
    <s v="8.00 X 4.00"/>
    <s v="Micros"/>
    <d v="2016-03-10T00:00:00"/>
    <n v="9"/>
    <x v="23"/>
    <n v="48975"/>
    <n v="30758"/>
    <n v="39866.5"/>
    <n v="39866.5"/>
    <n v="39866.5"/>
    <n v="39866.5"/>
    <n v="39866.5"/>
    <n v="39866.5"/>
    <n v="39866.5"/>
    <n v="39866.5"/>
    <n v="39866.5"/>
    <n v="39866.5"/>
  </r>
  <r>
    <s v="Plaas 2 nr 14"/>
    <x v="0"/>
    <n v="312"/>
    <m/>
    <n v="2.27"/>
    <n v="708.24"/>
    <s v="8.00 X 4.00"/>
    <s v="Micros"/>
    <d v="2016-03-10T00:00:00"/>
    <n v="9"/>
    <x v="18"/>
    <m/>
    <m/>
    <m/>
    <m/>
    <m/>
    <m/>
    <m/>
    <m/>
    <m/>
    <m/>
    <m/>
    <m/>
  </r>
  <r>
    <s v="Plaas 2 nr 15"/>
    <x v="0"/>
    <n v="416"/>
    <m/>
    <n v="2.0499999999999998"/>
    <n v="852.8"/>
    <s v="8.00 X 3.00"/>
    <s v="Micros"/>
    <d v="2016-03-10T00:00:00"/>
    <n v="9"/>
    <x v="18"/>
    <m/>
    <m/>
    <m/>
    <m/>
    <m/>
    <m/>
    <m/>
    <m/>
    <m/>
    <m/>
    <m/>
    <m/>
  </r>
  <r>
    <s v="Plaas 2 nr 16"/>
    <x v="0"/>
    <n v="312"/>
    <m/>
    <n v="2.0699999999999998"/>
    <n v="645.84"/>
    <s v="8.00 X 4.00"/>
    <s v="Micros"/>
    <d v="2016-03-10T00:00:00"/>
    <n v="9"/>
    <x v="18"/>
    <m/>
    <m/>
    <m/>
    <m/>
    <m/>
    <m/>
    <m/>
    <m/>
    <m/>
    <m/>
    <m/>
    <m/>
  </r>
  <r>
    <s v="Plaas 2 nr 17"/>
    <x v="0"/>
    <n v="312"/>
    <m/>
    <n v="2.12"/>
    <n v="661.44"/>
    <s v="8.00 X 4.00"/>
    <s v="Micros"/>
    <d v="2016-03-10T00:00:00"/>
    <n v="9"/>
    <x v="18"/>
    <m/>
    <m/>
    <m/>
    <m/>
    <m/>
    <m/>
    <m/>
    <m/>
    <m/>
    <m/>
    <m/>
    <m/>
  </r>
  <r>
    <s v="Plaas 2 nr 18"/>
    <x v="0"/>
    <n v="416"/>
    <m/>
    <n v="1.77"/>
    <n v="736.32"/>
    <s v="8.00 X 3.00"/>
    <s v="Micros"/>
    <d v="2016-03-10T00:00:00"/>
    <n v="9"/>
    <x v="24"/>
    <n v="14500"/>
    <n v="17245"/>
    <n v="15872.5"/>
    <n v="15872.5"/>
    <n v="15872.5"/>
    <n v="15872.5"/>
    <n v="15872.5"/>
    <n v="15872.5"/>
    <n v="15872.5"/>
    <n v="15872.5"/>
    <n v="15872.5"/>
    <n v="15872.5"/>
  </r>
  <r>
    <s v="Plaas 2 nr 19"/>
    <x v="0"/>
    <n v="416"/>
    <m/>
    <n v="1.87"/>
    <n v="777.92"/>
    <s v="8.00 X 3.00"/>
    <s v="Micros"/>
    <d v="2016-03-10T00:00:00"/>
    <n v="9"/>
    <x v="18"/>
    <m/>
    <m/>
    <m/>
    <m/>
    <m/>
    <m/>
    <m/>
    <m/>
    <m/>
    <m/>
    <m/>
    <m/>
  </r>
  <r>
    <s v="Plaas 2 nr 20"/>
    <x v="0"/>
    <n v="416"/>
    <m/>
    <n v="1.34"/>
    <n v="557.44000000000005"/>
    <s v="8.00 X 3.00"/>
    <s v="Micros"/>
    <d v="2016-03-10T00:00:00"/>
    <n v="9"/>
    <x v="18"/>
    <m/>
    <m/>
    <m/>
    <m/>
    <m/>
    <m/>
    <m/>
    <m/>
    <m/>
    <m/>
    <m/>
    <m/>
  </r>
  <r>
    <s v="Plaas 2 nr 21"/>
    <x v="0"/>
    <n v="312"/>
    <m/>
    <n v="1"/>
    <n v="312"/>
    <s v="8.00 X 4.00"/>
    <s v="Micros"/>
    <d v="2016-03-10T00:00:00"/>
    <n v="9"/>
    <x v="25"/>
    <n v="9616"/>
    <n v="8312"/>
    <n v="8964"/>
    <n v="8964"/>
    <n v="8964"/>
    <n v="8964"/>
    <n v="8964"/>
    <n v="8964"/>
    <n v="8964"/>
    <n v="8964"/>
    <n v="8964"/>
    <n v="8964"/>
  </r>
  <r>
    <s v="Plaas 2 nr 22"/>
    <x v="0"/>
    <n v="416"/>
    <m/>
    <n v="0.75"/>
    <n v="312"/>
    <s v="8.00 X 3.00"/>
    <s v="Micros"/>
    <d v="2016-03-10T00:00:00"/>
    <n v="9"/>
    <x v="18"/>
    <m/>
    <m/>
    <m/>
    <m/>
    <m/>
    <m/>
    <m/>
    <m/>
    <m/>
    <m/>
    <m/>
    <m/>
  </r>
  <r>
    <s v="Plaas 2 nr 23"/>
    <x v="0"/>
    <n v="416"/>
    <m/>
    <n v="1.01"/>
    <n v="420.16"/>
    <s v="8.00 X 3.00"/>
    <s v="Micros"/>
    <d v="2016-03-10T00:00:00"/>
    <n v="9"/>
    <x v="18"/>
    <m/>
    <m/>
    <m/>
    <m/>
    <m/>
    <m/>
    <m/>
    <m/>
    <m/>
    <m/>
    <m/>
    <m/>
  </r>
  <r>
    <s v="Plaas 2 nr 24"/>
    <x v="0"/>
    <n v="416"/>
    <m/>
    <n v="1.22"/>
    <n v="507.52"/>
    <s v="8.00 X 3.00"/>
    <s v="Micros"/>
    <d v="2016-04-05T00:00:00"/>
    <n v="9"/>
    <x v="26"/>
    <n v="26966"/>
    <n v="21280"/>
    <n v="24123"/>
    <n v="24123"/>
    <n v="24123"/>
    <n v="24123"/>
    <n v="24123"/>
    <n v="24123"/>
    <n v="24123"/>
    <n v="24123"/>
    <n v="24123"/>
    <n v="24123"/>
  </r>
  <r>
    <s v="Plaas 2 nr 25"/>
    <x v="0"/>
    <n v="312"/>
    <m/>
    <n v="2.04"/>
    <n v="636.48"/>
    <s v="8.00 X 4.00"/>
    <s v="Micros"/>
    <d v="2016-04-05T00:00:00"/>
    <n v="9"/>
    <x v="18"/>
    <m/>
    <m/>
    <m/>
    <m/>
    <m/>
    <m/>
    <m/>
    <m/>
    <m/>
    <m/>
    <m/>
    <m/>
  </r>
  <r>
    <s v="Plaas 2 nr 26"/>
    <x v="0"/>
    <n v="312"/>
    <m/>
    <n v="2.23"/>
    <n v="695.76"/>
    <s v="8.00 X 4.00"/>
    <s v="Micros"/>
    <d v="2016-04-05T00:00:00"/>
    <n v="9"/>
    <x v="18"/>
    <m/>
    <m/>
    <m/>
    <m/>
    <m/>
    <m/>
    <m/>
    <m/>
    <m/>
    <m/>
    <m/>
    <m/>
  </r>
  <r>
    <s v="Plaas 2 nr 27"/>
    <x v="0"/>
    <n v="312"/>
    <m/>
    <n v="1.64"/>
    <n v="511.68"/>
    <s v="8.00 X 4.00"/>
    <s v="Micros"/>
    <d v="2016-04-05T00:00:00"/>
    <n v="9"/>
    <x v="18"/>
    <m/>
    <m/>
    <m/>
    <m/>
    <m/>
    <m/>
    <m/>
    <m/>
    <m/>
    <m/>
    <m/>
    <m/>
  </r>
  <r>
    <s v="Plaas 3 nr 1"/>
    <x v="0"/>
    <n v="416"/>
    <m/>
    <n v="1.25"/>
    <n v="520"/>
    <s v="8.00 X 3.00"/>
    <s v="Micros"/>
    <d v="2016-04-05T00:00:00"/>
    <n v="9"/>
    <x v="27"/>
    <n v="53028"/>
    <n v="51391"/>
    <n v="52209.5"/>
    <n v="52209.5"/>
    <n v="52209.5"/>
    <n v="52209.5"/>
    <n v="52209.5"/>
    <n v="52209.5"/>
    <n v="52209.5"/>
    <n v="52209.5"/>
    <n v="52209.5"/>
    <n v="52209.5"/>
  </r>
  <r>
    <s v="Plaas 3 nr 10"/>
    <x v="0"/>
    <n v="416"/>
    <m/>
    <n v="1.33"/>
    <n v="553.28"/>
    <s v="8.00 X 3.00"/>
    <s v="Micros"/>
    <d v="2016-04-05T00:00:00"/>
    <n v="9"/>
    <x v="18"/>
    <m/>
    <m/>
    <m/>
    <m/>
    <m/>
    <m/>
    <m/>
    <m/>
    <m/>
    <m/>
    <m/>
    <m/>
  </r>
  <r>
    <s v="Plaas 3 nr 11"/>
    <x v="0"/>
    <n v="416"/>
    <m/>
    <n v="1.33"/>
    <n v="553.28"/>
    <s v="8.00 X 3.00"/>
    <s v="Micros"/>
    <d v="2016-04-05T00:00:00"/>
    <n v="9"/>
    <x v="18"/>
    <m/>
    <m/>
    <m/>
    <m/>
    <m/>
    <m/>
    <m/>
    <m/>
    <m/>
    <m/>
    <m/>
    <m/>
  </r>
  <r>
    <s v="Plaas 3 nr 2"/>
    <x v="0"/>
    <n v="416"/>
    <m/>
    <n v="1.66"/>
    <n v="690.56"/>
    <s v="8.00 X 3.00"/>
    <s v="Micros"/>
    <d v="2016-04-05T00:00:00"/>
    <n v="9"/>
    <x v="18"/>
    <m/>
    <m/>
    <m/>
    <m/>
    <m/>
    <m/>
    <m/>
    <m/>
    <m/>
    <m/>
    <m/>
    <m/>
  </r>
  <r>
    <s v="Plaas 3 nr 3"/>
    <x v="0"/>
    <n v="416"/>
    <m/>
    <n v="2.66"/>
    <n v="1106.56"/>
    <s v="8.00 X 3.00"/>
    <s v="Micros"/>
    <d v="2016-04-05T00:00:00"/>
    <n v="9"/>
    <x v="18"/>
    <m/>
    <m/>
    <m/>
    <m/>
    <m/>
    <m/>
    <m/>
    <m/>
    <m/>
    <m/>
    <m/>
    <m/>
  </r>
  <r>
    <s v="Plaas 3 nr 4"/>
    <x v="0"/>
    <n v="416"/>
    <m/>
    <n v="1.33"/>
    <n v="553.28"/>
    <s v="8.00 X 3.00"/>
    <s v="Micros"/>
    <d v="2016-04-05T00:00:00"/>
    <n v="9"/>
    <x v="18"/>
    <m/>
    <m/>
    <m/>
    <m/>
    <m/>
    <m/>
    <m/>
    <m/>
    <m/>
    <m/>
    <m/>
    <m/>
  </r>
  <r>
    <s v="Plaas 3 nr 5"/>
    <x v="0"/>
    <n v="416"/>
    <m/>
    <n v="1.33"/>
    <n v="553.28"/>
    <s v="8.00 X 3.00"/>
    <s v="Micros"/>
    <d v="2016-04-05T00:00:00"/>
    <n v="9"/>
    <x v="18"/>
    <m/>
    <m/>
    <m/>
    <m/>
    <m/>
    <m/>
    <m/>
    <m/>
    <m/>
    <m/>
    <m/>
    <m/>
  </r>
  <r>
    <s v="Plaas 3 nr 6"/>
    <x v="0"/>
    <n v="416"/>
    <m/>
    <n v="1.33"/>
    <n v="553.28"/>
    <s v="8.00 X 3.00"/>
    <s v="Micros"/>
    <d v="2016-04-05T00:00:00"/>
    <n v="9"/>
    <x v="18"/>
    <m/>
    <m/>
    <m/>
    <m/>
    <m/>
    <m/>
    <m/>
    <m/>
    <m/>
    <m/>
    <m/>
    <m/>
  </r>
  <r>
    <s v="Plaas 3 nr 7"/>
    <x v="0"/>
    <n v="416"/>
    <m/>
    <n v="1.33"/>
    <n v="553.28"/>
    <s v="8.00 X 3.00"/>
    <s v="Micros"/>
    <d v="2016-04-05T00:00:00"/>
    <n v="9"/>
    <x v="18"/>
    <m/>
    <m/>
    <m/>
    <m/>
    <m/>
    <m/>
    <m/>
    <m/>
    <m/>
    <m/>
    <m/>
    <m/>
  </r>
  <r>
    <s v="Plaas 3 nr 8"/>
    <x v="0"/>
    <n v="416"/>
    <m/>
    <n v="1.33"/>
    <n v="553.28"/>
    <s v="8.00 X 3.00"/>
    <s v="Micros"/>
    <d v="2016-04-05T00:00:00"/>
    <n v="9"/>
    <x v="18"/>
    <m/>
    <m/>
    <m/>
    <m/>
    <m/>
    <m/>
    <m/>
    <m/>
    <m/>
    <m/>
    <m/>
    <m/>
  </r>
  <r>
    <s v="Plaas 3 nr 9"/>
    <x v="0"/>
    <n v="416"/>
    <m/>
    <n v="1.33"/>
    <n v="553.28"/>
    <s v="8.00 X 3.00"/>
    <s v="Micros"/>
    <d v="2016-04-05T00:00:00"/>
    <n v="9"/>
    <x v="18"/>
    <m/>
    <m/>
    <m/>
    <m/>
    <m/>
    <m/>
    <m/>
    <m/>
    <m/>
    <m/>
    <m/>
    <m/>
  </r>
  <r>
    <s v="DM14"/>
    <x v="1"/>
    <n v="476"/>
    <m/>
    <n v="0.97"/>
    <n v="461.72"/>
    <s v="7.00 X 3.00"/>
    <s v="Micros"/>
    <d v="2015-11-05T00:00:00"/>
    <n v="10"/>
    <x v="28"/>
    <n v="3841"/>
    <n v="1949"/>
    <n v="3184.5000000000005"/>
    <n v="3502.9500000000007"/>
    <n v="3853.2450000000013"/>
    <n v="4238.5695000000014"/>
    <n v="4238.5695000000014"/>
    <n v="4238.5695000000014"/>
    <n v="4238.5695000000014"/>
    <n v="4238.5695000000014"/>
    <n v="4238.5695000000014"/>
    <n v="4238.5695000000014"/>
  </r>
  <r>
    <s v="DM15"/>
    <x v="1"/>
    <n v="476"/>
    <m/>
    <n v="0.37"/>
    <n v="176.12"/>
    <s v="7.00 X 3.00"/>
    <s v="Micros"/>
    <d v="2015-11-05T00:00:00"/>
    <n v="10"/>
    <x v="29"/>
    <n v="1588"/>
    <n v="719"/>
    <n v="1268.8500000000001"/>
    <n v="1395.7350000000004"/>
    <n v="1535.3085000000005"/>
    <n v="1688.8393500000006"/>
    <n v="1688.8393500000006"/>
    <n v="1688.8393500000006"/>
    <n v="1688.8393500000006"/>
    <n v="1688.8393500000006"/>
    <n v="1688.8393500000006"/>
    <n v="1688.8393500000006"/>
  </r>
  <r>
    <s v="DM17"/>
    <x v="1"/>
    <n v="476"/>
    <m/>
    <n v="2.0099999999999998"/>
    <n v="956.76"/>
    <s v="7.00 X 3.00"/>
    <s v="Micros"/>
    <d v="2015-11-05T00:00:00"/>
    <n v="10"/>
    <x v="30"/>
    <n v="5250"/>
    <n v="3820"/>
    <n v="4988.5"/>
    <n v="5487.35"/>
    <n v="6036.0850000000009"/>
    <n v="6639.6935000000012"/>
    <n v="6639.6935000000012"/>
    <n v="6639.6935000000012"/>
    <n v="6639.6935000000012"/>
    <n v="6639.6935000000012"/>
    <n v="6639.6935000000012"/>
    <n v="6639.6935000000012"/>
  </r>
  <r>
    <s v="DM18"/>
    <x v="1"/>
    <n v="476"/>
    <m/>
    <n v="1.93"/>
    <n v="918.68"/>
    <s v="7.00 X 3.00"/>
    <s v="Micros"/>
    <d v="2015-11-05T00:00:00"/>
    <n v="10"/>
    <x v="31"/>
    <n v="6688"/>
    <n v="1920"/>
    <n v="4734.4000000000005"/>
    <n v="5207.8400000000011"/>
    <n v="5728.6240000000016"/>
    <n v="6301.4864000000025"/>
    <n v="6301.4864000000025"/>
    <n v="6301.4864000000025"/>
    <n v="6301.4864000000025"/>
    <n v="6301.4864000000025"/>
    <n v="6301.4864000000025"/>
    <n v="6301.4864000000025"/>
  </r>
  <r>
    <s v="Plaas 2 nr 2"/>
    <x v="1"/>
    <n v="312"/>
    <m/>
    <n v="0.54"/>
    <n v="168.48"/>
    <s v="8.00 X 4.00"/>
    <s v="Micros"/>
    <d v="2016-03-10T00:00:00"/>
    <n v="9"/>
    <x v="32"/>
    <n v="23202"/>
    <n v="16468"/>
    <n v="21818.5"/>
    <n v="24000.350000000002"/>
    <n v="26400.385000000006"/>
    <n v="29040.423500000008"/>
    <n v="31944.465850000011"/>
    <n v="31944.465850000011"/>
    <n v="31944.465850000011"/>
    <n v="31944.465850000011"/>
    <n v="31944.465850000011"/>
    <n v="31944.465850000011"/>
  </r>
  <r>
    <s v="Plaas 2 nr 4"/>
    <x v="1"/>
    <n v="312"/>
    <m/>
    <n v="2.31"/>
    <n v="720.72"/>
    <s v="8.00 X 4.00"/>
    <s v="Micros"/>
    <d v="2016-03-10T00:00:00"/>
    <n v="9"/>
    <x v="18"/>
    <m/>
    <m/>
    <m/>
    <m/>
    <m/>
    <m/>
    <m/>
    <m/>
    <m/>
    <m/>
    <m/>
    <m/>
  </r>
  <r>
    <s v="Plaas 2 nr 6"/>
    <x v="1"/>
    <n v="312"/>
    <m/>
    <n v="2.04"/>
    <n v="636.48"/>
    <s v="8.00 X 4.00"/>
    <s v="Micros"/>
    <d v="2016-03-10T00:00:00"/>
    <n v="9"/>
    <x v="18"/>
    <m/>
    <m/>
    <m/>
    <m/>
    <m/>
    <m/>
    <m/>
    <m/>
    <m/>
    <m/>
    <m/>
    <m/>
  </r>
  <r>
    <s v="Kop Blok"/>
    <x v="1"/>
    <n v="416"/>
    <m/>
    <n v="1.1499999999999999"/>
    <n v="478.4"/>
    <s v="8.00 X 3.00"/>
    <s v="Micros"/>
    <d v="2016-03-10T00:00:00"/>
    <n v="9"/>
    <x v="18"/>
    <m/>
    <m/>
    <m/>
    <m/>
    <m/>
    <m/>
    <m/>
    <m/>
    <m/>
    <m/>
    <m/>
    <m/>
  </r>
  <r>
    <s v="Plaas 2 nr 8"/>
    <x v="1"/>
    <n v="312"/>
    <m/>
    <n v="2.21"/>
    <n v="689.52"/>
    <s v="8.00 X 4.00"/>
    <s v="Micros"/>
    <d v="2016-03-10T00:00:00"/>
    <n v="9"/>
    <x v="33"/>
    <n v="17158"/>
    <n v="10191"/>
    <n v="15041.95"/>
    <n v="16546.145"/>
    <n v="18200.759500000004"/>
    <n v="20020.835450000006"/>
    <n v="22022.918995000007"/>
    <n v="22022.918995000007"/>
    <n v="22022.918995000007"/>
    <n v="22022.918995000007"/>
    <n v="22022.918995000007"/>
    <n v="22022.918995000007"/>
  </r>
  <r>
    <s v="Plaas 2 nr 10"/>
    <x v="1"/>
    <n v="312"/>
    <m/>
    <n v="1.8"/>
    <n v="561.6"/>
    <s v="8.00 X 4.00"/>
    <s v="Micros"/>
    <d v="2016-03-10T00:00:00"/>
    <n v="9"/>
    <x v="18"/>
    <m/>
    <m/>
    <m/>
    <m/>
    <m/>
    <m/>
    <m/>
    <m/>
    <m/>
    <m/>
    <m/>
    <m/>
  </r>
  <r>
    <s v="Plaas 2 nr 12"/>
    <x v="1"/>
    <n v="312"/>
    <m/>
    <n v="1.93"/>
    <n v="602.16"/>
    <s v="8.00 X 4.00"/>
    <s v="Micros"/>
    <d v="2016-03-10T00:00:00"/>
    <n v="9"/>
    <x v="18"/>
    <m/>
    <m/>
    <m/>
    <m/>
    <m/>
    <m/>
    <m/>
    <m/>
    <m/>
    <m/>
    <m/>
    <m/>
  </r>
  <r>
    <s v="Fase 3"/>
    <x v="2"/>
    <n v="416"/>
    <m/>
    <n v="12"/>
    <n v="4992"/>
    <s v="8.00 X 3.00"/>
    <s v="Micros"/>
    <d v="2019-08-08T00:00:00"/>
    <n v="6"/>
    <x v="34"/>
    <n v="10736"/>
    <n v="24896"/>
    <n v="37344"/>
    <n v="41078.400000000001"/>
    <n v="45186.240000000005"/>
    <n v="49704.864000000009"/>
    <n v="54675.350400000018"/>
    <n v="60142.885440000027"/>
    <n v="66157.173984000037"/>
    <n v="72772.891382400048"/>
    <n v="72772.891382400048"/>
    <n v="72772.891382400048"/>
  </r>
  <r>
    <s v="Dallas Middel"/>
    <x v="3"/>
    <n v="204"/>
    <m/>
    <n v="6"/>
    <n v="1224"/>
    <s v="7.00 X 7.00"/>
    <s v="Micros"/>
    <d v="2017-11-14T00:00:00"/>
    <n v="8"/>
    <x v="35"/>
    <n v="16942"/>
    <n v="11127"/>
    <n v="16841.399999999998"/>
    <n v="20209.679999999997"/>
    <n v="24251.615999999995"/>
    <n v="29101.939199999993"/>
    <n v="34922.327039999989"/>
    <n v="41906.792447999986"/>
    <n v="41906.792447999986"/>
    <n v="41906.792447999986"/>
    <n v="41906.792447999986"/>
    <n v="41906.792447999986"/>
  </r>
  <r>
    <s v="Fase 3"/>
    <x v="3"/>
    <n v="416"/>
    <m/>
    <n v="3"/>
    <n v="1248"/>
    <s v="8.00 X 3.00"/>
    <s v="Micros"/>
    <d v="2019-08-08T00:00:00"/>
    <n v="6"/>
    <x v="18"/>
    <m/>
    <n v="1354"/>
    <n v="2708"/>
    <n v="5416"/>
    <n v="6499.2"/>
    <n v="7799.0399999999991"/>
    <n v="9358.8479999999981"/>
    <n v="11230.617599999998"/>
    <n v="13476.741119999997"/>
    <n v="16172.089343999996"/>
    <n v="16172.089343999996"/>
    <n v="16172.089343999996"/>
  </r>
  <r>
    <m/>
    <x v="4"/>
    <m/>
    <m/>
    <m/>
    <m/>
    <m/>
    <m/>
    <m/>
    <m/>
    <x v="18"/>
    <m/>
    <m/>
    <m/>
    <m/>
    <m/>
    <m/>
    <m/>
    <m/>
    <m/>
    <m/>
    <m/>
    <m/>
  </r>
  <r>
    <m/>
    <x v="4"/>
    <m/>
    <m/>
    <m/>
    <m/>
    <m/>
    <m/>
    <m/>
    <m/>
    <x v="18"/>
    <m/>
    <m/>
    <m/>
    <m/>
    <m/>
    <m/>
    <m/>
    <m/>
    <m/>
    <m/>
    <m/>
    <m/>
  </r>
  <r>
    <m/>
    <x v="4"/>
    <m/>
    <m/>
    <m/>
    <m/>
    <m/>
    <m/>
    <m/>
    <m/>
    <x v="18"/>
    <m/>
    <m/>
    <m/>
    <m/>
    <m/>
    <m/>
    <m/>
    <m/>
    <m/>
    <m/>
    <m/>
    <m/>
  </r>
  <r>
    <m/>
    <x v="4"/>
    <m/>
    <m/>
    <m/>
    <m/>
    <m/>
    <m/>
    <m/>
    <m/>
    <x v="18"/>
    <m/>
    <m/>
    <m/>
    <m/>
    <m/>
    <m/>
    <m/>
    <m/>
    <m/>
    <m/>
    <m/>
    <m/>
  </r>
  <r>
    <m/>
    <x v="4"/>
    <m/>
    <m/>
    <m/>
    <m/>
    <m/>
    <m/>
    <m/>
    <m/>
    <x v="18"/>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s v="WH1-A1"/>
    <x v="0"/>
    <n v="2.8"/>
    <n v="9296"/>
    <n v="9296"/>
    <n v="9296"/>
    <n v="9296"/>
    <n v="9296"/>
  </r>
  <r>
    <s v="WH1-A2"/>
    <x v="0"/>
    <n v="4.3"/>
    <n v="15136.000000000002"/>
    <n v="15136.000000000002"/>
    <n v="15136.000000000002"/>
    <n v="15136.000000000002"/>
    <n v="15136.000000000002"/>
  </r>
  <r>
    <s v="WH1-A3"/>
    <x v="0"/>
    <n v="4.4000000000000004"/>
    <n v="15664.000000000002"/>
    <n v="15664.000000000002"/>
    <n v="15664.000000000002"/>
    <n v="15664.000000000002"/>
    <n v="15664.000000000002"/>
  </r>
  <r>
    <s v="WH1-A4"/>
    <x v="0"/>
    <n v="4"/>
    <n v="14959.999999999998"/>
    <n v="14959.999999999998"/>
    <n v="14959.999999999998"/>
    <n v="14959.999999999998"/>
    <n v="14959.999999999998"/>
  </r>
  <r>
    <s v="WH1-B1"/>
    <x v="1"/>
    <n v="1.4"/>
    <n v="4087.9999999999991"/>
    <n v="4087.9999999999991"/>
    <n v="4087.9999999999991"/>
    <n v="4087.9999999999991"/>
    <n v="4087.9999999999991"/>
  </r>
  <r>
    <s v="WH1-B2"/>
    <x v="1"/>
    <n v="3.5"/>
    <n v="9170"/>
    <n v="9170"/>
    <n v="9170"/>
    <n v="9170"/>
    <n v="9170"/>
  </r>
  <r>
    <s v="WH1-B3"/>
    <x v="1"/>
    <n v="3.2"/>
    <n v="8256"/>
    <n v="8256"/>
    <n v="8256"/>
    <n v="8256"/>
    <n v="8256"/>
  </r>
  <r>
    <s v="WH1-B2,3"/>
    <x v="0"/>
    <n v="1.1000000000000001"/>
    <n v="5148"/>
    <n v="5148"/>
    <n v="5148"/>
    <n v="5148"/>
    <n v="5148"/>
  </r>
  <r>
    <s v="WH1-B4"/>
    <x v="2"/>
    <n v="1.9"/>
    <n v="8588.0000000000018"/>
    <n v="8588.0000000000018"/>
    <n v="8588.0000000000018"/>
    <n v="8588.0000000000018"/>
    <n v="8588.0000000000018"/>
  </r>
  <r>
    <s v="WH1-B5"/>
    <x v="2"/>
    <n v="2"/>
    <n v="7560"/>
    <n v="7560"/>
    <n v="7560"/>
    <n v="7560"/>
    <n v="7560"/>
  </r>
  <r>
    <s v="WH1-C1"/>
    <x v="3"/>
    <n v="1.4"/>
    <n v="4200"/>
    <n v="4200"/>
    <n v="4200"/>
    <n v="4200"/>
    <n v="4200"/>
  </r>
  <r>
    <s v="WH1-C2"/>
    <x v="4"/>
    <n v="1"/>
    <n v="3619.9999999999995"/>
    <n v="3619.9999999999995"/>
    <n v="3619.9999999999995"/>
    <n v="3619.9999999999995"/>
    <n v="3619.9999999999995"/>
  </r>
  <r>
    <s v="WH1-C3"/>
    <x v="0"/>
    <n v="1.6"/>
    <n v="7967.9999999999991"/>
    <n v="7967.9999999999991"/>
    <n v="7967.9999999999991"/>
    <n v="7967.9999999999991"/>
    <n v="7967.9999999999991"/>
  </r>
  <r>
    <s v="WH1-D1"/>
    <x v="2"/>
    <n v="2.9"/>
    <n v="11890.000000000002"/>
    <n v="11890.000000000002"/>
    <n v="11890.000000000002"/>
    <n v="11890.000000000002"/>
    <n v="11890.000000000002"/>
  </r>
  <r>
    <s v="WH1-D2"/>
    <x v="1"/>
    <n v="2.6"/>
    <n v="0"/>
    <n v="0"/>
    <n v="0"/>
    <n v="0"/>
    <n v="0"/>
  </r>
  <r>
    <s v="WH1-D3"/>
    <x v="0"/>
    <n v="2.8"/>
    <n v="9071.9999999999982"/>
    <n v="9071.9999999999982"/>
    <n v="9071.9999999999982"/>
    <n v="9071.9999999999982"/>
    <n v="9071.9999999999982"/>
  </r>
  <r>
    <s v="WH1-E1"/>
    <x v="5"/>
    <n v="2.4"/>
    <n v="9984"/>
    <n v="9984"/>
    <n v="9984"/>
    <n v="9984"/>
    <n v="9984"/>
  </r>
  <r>
    <s v="WH1-E1"/>
    <x v="2"/>
    <n v="0.9"/>
    <n v="3887.9999999999991"/>
    <n v="3887.9999999999991"/>
    <n v="3887.9999999999991"/>
    <n v="3887.9999999999991"/>
    <n v="3887.9999999999991"/>
  </r>
  <r>
    <s v="WH1-E2"/>
    <x v="5"/>
    <n v="0.9"/>
    <n v="720"/>
    <n v="720"/>
    <n v="720"/>
    <n v="720"/>
    <n v="720"/>
  </r>
  <r>
    <s v="WH1-E2"/>
    <x v="2"/>
    <n v="0.2"/>
    <n v="460"/>
    <n v="460"/>
    <n v="460"/>
    <n v="460"/>
    <n v="460"/>
  </r>
  <r>
    <s v="WH1-F"/>
    <x v="6"/>
    <n v="0.3"/>
    <n v="660"/>
    <n v="660"/>
    <n v="660"/>
    <n v="660"/>
    <n v="660"/>
  </r>
  <r>
    <s v="WH1-G"/>
    <x v="0"/>
    <n v="0.6"/>
    <n v="2663.9999999999995"/>
    <n v="2663.9999999999995"/>
    <n v="2663.9999999999995"/>
    <n v="2663.9999999999995"/>
    <n v="2663.9999999999995"/>
  </r>
  <r>
    <s v="WH2-A1(1)"/>
    <x v="0"/>
    <n v="2.9"/>
    <n v="7969.2386279999973"/>
    <n v="9164.624422199995"/>
    <n v="10539.318085529994"/>
    <n v="10539.318085529994"/>
    <n v="10539.318085529994"/>
  </r>
  <r>
    <s v="WH2-A5"/>
    <x v="2"/>
    <n v="2.7"/>
    <n v="10890.290268000001"/>
    <n v="11979.319294800001"/>
    <n v="13177.251224280004"/>
    <n v="14494.976346708005"/>
    <n v="15944.473981378807"/>
  </r>
  <r>
    <s v="WH2-B6(1)"/>
    <x v="2"/>
    <n v="1.4"/>
    <n v="5329.5802559999993"/>
    <n v="5862.5382816000001"/>
    <n v="6448.7921097600001"/>
    <n v="7093.6713207360008"/>
    <n v="7803.0384528096001"/>
  </r>
  <r>
    <s v="WH2-B6(2)"/>
    <x v="2"/>
    <n v="1.8"/>
    <n v="6852.3174719999997"/>
    <n v="7537.5492192000002"/>
    <n v="8291.3041411200011"/>
    <n v="9120.434555232001"/>
    <n v="10032.478010755201"/>
  </r>
  <r>
    <s v="WH2-B7"/>
    <x v="5"/>
    <n v="1.4"/>
    <n v="4695.1064160000005"/>
    <n v="5164.6170576000013"/>
    <n v="5681.0787633600012"/>
    <n v="6249.1866396960031"/>
    <n v="6874.1053036656031"/>
  </r>
  <r>
    <s v="WH2-B8"/>
    <x v="5"/>
    <n v="0.7"/>
    <n v="1617.9082919999996"/>
    <n v="1779.6991211999998"/>
    <n v="1957.6690333199999"/>
    <n v="2153.4359366519998"/>
    <n v="2368.7795303172002"/>
  </r>
  <r>
    <s v="WH2-B9"/>
    <x v="5"/>
    <n v="0.8"/>
    <n v="1885.293696"/>
    <n v="2073.8230656000001"/>
    <n v="2281.20537216"/>
    <n v="2509.3259093760007"/>
    <n v="2760.258500313601"/>
  </r>
  <r>
    <s v="WH2-H1"/>
    <x v="5"/>
    <n v="0.9"/>
    <n v="1835.44218"/>
    <n v="2018.9863980000002"/>
    <n v="2220.8850378000002"/>
    <n v="2442.9735415800001"/>
    <n v="2687.2708957380005"/>
  </r>
  <r>
    <s v="WH2-H2"/>
    <x v="5"/>
    <n v="1.2"/>
    <n v="4241.9108159999996"/>
    <n v="4666.1018975999996"/>
    <n v="5132.7120873600006"/>
    <n v="5645.9832960960021"/>
    <n v="6210.5816257056022"/>
  </r>
  <r>
    <s v="WH2-H3"/>
    <x v="5"/>
    <n v="1.5"/>
    <n v="2991.0909600000005"/>
    <n v="3290.2000560000006"/>
    <n v="3619.2200616000009"/>
    <n v="3981.1420677600013"/>
    <n v="4379.2562745360019"/>
  </r>
  <r>
    <s v="WH2-H4"/>
    <x v="5"/>
    <n v="0.3"/>
    <n v="1155.64878"/>
    <n v="1271.2136580000001"/>
    <n v="1398.3350238000005"/>
    <n v="1538.1685261800005"/>
    <n v="1691.9853787980007"/>
  </r>
  <r>
    <s v="WH2-I1"/>
    <x v="0"/>
    <n v="3.1"/>
    <n v="7050.0755519999975"/>
    <n v="8107.5868847999964"/>
    <n v="8107.5868847999964"/>
    <n v="8107.5868847999964"/>
    <n v="8107.5868847999964"/>
  </r>
  <r>
    <s v="WH2-I2"/>
    <x v="7"/>
    <n v="1.4"/>
    <n v="3172.3692000000001"/>
    <n v="3489.6061199999999"/>
    <n v="3838.5667320000002"/>
    <n v="3838.5667320000002"/>
    <n v="3838.5667320000002"/>
  </r>
  <r>
    <s v="WH2-I2"/>
    <x v="4"/>
    <n v="1.1000000000000001"/>
    <n v="648.06970799999999"/>
    <n v="712.87667880000004"/>
    <n v="784.16434668000011"/>
    <n v="784.16434668000011"/>
    <n v="784.16434668000011"/>
  </r>
  <r>
    <s v="WH2-J1"/>
    <x v="4"/>
    <n v="0.55000000000000004"/>
    <n v="1021.956078"/>
    <n v="1124.1516858000002"/>
    <n v="1236.5668543800004"/>
    <n v="1236.5668543800004"/>
    <n v="1236.5668543800004"/>
  </r>
  <r>
    <s v="WH2-J2"/>
    <x v="4"/>
    <n v="3.4"/>
    <n v="6317.5466639999995"/>
    <n v="6949.3013304000006"/>
    <n v="7644.2314634400009"/>
    <n v="7644.2314634400009"/>
    <n v="7644.2314634400009"/>
  </r>
  <r>
    <s v="WH2-J3"/>
    <x v="4"/>
    <n v="2.2000000000000002"/>
    <n v="5683.0728239999999"/>
    <n v="6251.3801063999999"/>
    <n v="6876.5181170400001"/>
    <n v="6876.5181170400001"/>
    <n v="6876.5181170400001"/>
  </r>
  <r>
    <s v="WH2-J4"/>
    <x v="4"/>
    <n v="1.1000000000000001"/>
    <n v="2642.1303480000001"/>
    <n v="2906.3433828000002"/>
    <n v="3196.9777210800003"/>
    <n v="3196.9777210800003"/>
    <n v="3196.9777210800003"/>
  </r>
  <r>
    <s v="WH2-K1"/>
    <x v="0"/>
    <n v="0.6"/>
    <n v="1421.3861999999999"/>
    <n v="1421.3861999999999"/>
    <n v="1421.3861999999999"/>
    <n v="1421.3861999999999"/>
    <n v="1421.3861999999999"/>
  </r>
  <r>
    <s v="WH2-K2"/>
    <x v="0"/>
    <n v="1.6"/>
    <n v="6974.2682879999984"/>
    <n v="11158.829260799997"/>
    <n v="11158.829260799997"/>
    <n v="11158.829260799997"/>
    <n v="11158.829260799997"/>
  </r>
  <r>
    <s v="SM-1"/>
    <x v="5"/>
    <n v="5.8"/>
    <n v="21553.982735999998"/>
    <n v="23709.381009600002"/>
    <n v="26080.319110560005"/>
    <n v="28688.35102161601"/>
    <n v="31557.18612377761"/>
  </r>
  <r>
    <s v="SM-2"/>
    <x v="5"/>
    <n v="5.0999999999999996"/>
    <n v="7396.1521919999996"/>
    <n v="8135.7674112000004"/>
    <n v="8949.3441523199999"/>
    <n v="9844.2785675520008"/>
    <n v="10828.706424307204"/>
  </r>
  <r>
    <s v="SM-3"/>
    <x v="2"/>
    <n v="2.6"/>
    <n v="10251.284471999998"/>
    <n v="11276.412919199998"/>
    <n v="12404.054211119999"/>
    <n v="13644.459632232001"/>
    <n v="15008.9055954552"/>
  </r>
  <r>
    <s v="SM-4"/>
    <x v="2"/>
    <n v="4.3"/>
    <n v="13056.565236"/>
    <n v="14362.221759600003"/>
    <n v="15798.443935560004"/>
    <n v="17378.288329116007"/>
    <n v="19116.117162027607"/>
  </r>
  <r>
    <s v="SM-5"/>
    <x v="2"/>
    <n v="4.5"/>
    <n v="7341.76872"/>
    <n v="8075.9455920000009"/>
    <n v="8883.5401512000026"/>
    <n v="9771.8941663200039"/>
    <n v="10749.083582952004"/>
  </r>
  <r>
    <s v="SM-6"/>
    <x v="4"/>
    <n v="3.7"/>
    <n v="7378.0243680000021"/>
    <n v="8115.8268048000018"/>
    <n v="8927.4094852800026"/>
    <n v="9820.1504338080031"/>
    <n v="10802.165477188804"/>
  </r>
  <r>
    <s v="SM-7"/>
    <x v="4"/>
    <n v="3.8"/>
    <n v="8955.1450559999994"/>
    <n v="9850.6595615999995"/>
    <n v="10835.72551776"/>
    <n v="11919.298069536"/>
    <n v="13111.227876489602"/>
  </r>
  <r>
    <s v="SM-8"/>
    <x v="0"/>
    <n v="0.6"/>
    <n v="1734.0911639999995"/>
    <n v="1994.2048385999992"/>
    <n v="1994.2048385999992"/>
    <n v="1994.2048385999992"/>
    <n v="1994.2048385999992"/>
  </r>
  <r>
    <s v="SM-9"/>
    <x v="0"/>
    <n v="1.8"/>
    <n v="8272.4676839999975"/>
    <n v="9513.3378365999961"/>
    <n v="9513.3378365999961"/>
    <n v="9513.3378365999961"/>
    <n v="9513.3378365999961"/>
  </r>
  <r>
    <s v="SM-10"/>
    <x v="0"/>
    <n v="3.5"/>
    <n v="13100.44281"/>
    <n v="15065.509231499998"/>
    <n v="15065.509231499998"/>
    <n v="15065.509231499998"/>
    <n v="15065.509231499998"/>
  </r>
  <r>
    <s v="SM-11"/>
    <x v="0"/>
    <n v="1.6"/>
    <n v="6064.5811199999989"/>
    <n v="6974.2682879999984"/>
    <n v="6974.2682879999984"/>
    <n v="6974.2682879999984"/>
    <n v="6974.2682879999984"/>
  </r>
  <r>
    <s v="SM-12"/>
    <x v="0"/>
    <n v="0.9"/>
    <n v="5074.3487339999992"/>
    <n v="5835.5010440999986"/>
    <n v="5835.5010440999986"/>
    <n v="5835.5010440999986"/>
    <n v="5835.5010440999986"/>
  </r>
  <r>
    <s v="SM-13"/>
    <x v="0"/>
    <n v="1.3"/>
    <n v="4619.505149999999"/>
    <n v="5312.4309224999988"/>
    <n v="5312.4309224999988"/>
    <n v="5312.4309224999988"/>
    <n v="5312.4309224999988"/>
  </r>
  <r>
    <s v="SM-14"/>
    <x v="0"/>
    <n v="2"/>
    <n v="2842.7723999999994"/>
    <n v="3269.188259999999"/>
    <n v="3269.188259999999"/>
    <n v="3269.188259999999"/>
    <n v="3269.188259999999"/>
  </r>
  <r>
    <s v="SM-15"/>
    <x v="0"/>
    <n v="1.4"/>
    <n v="3051.2423759999988"/>
    <n v="3508.9287323999984"/>
    <n v="3508.9287323999984"/>
    <n v="3508.9287323999984"/>
    <n v="3508.9287323999984"/>
  </r>
  <r>
    <s v="SM-16"/>
    <x v="0"/>
    <n v="1.4"/>
    <n v="2454.2601719999993"/>
    <n v="2822.399197799999"/>
    <n v="2822.399197799999"/>
    <n v="2822.399197799999"/>
    <n v="2822.399197799999"/>
  </r>
  <r>
    <s v="SM-17"/>
    <x v="0"/>
    <n v="0.6"/>
    <n v="881.25944399999992"/>
    <n v="1013.4483605999998"/>
    <n v="1013.4483605999998"/>
    <n v="1013.4483605999998"/>
    <n v="1013.4483605999998"/>
  </r>
  <r>
    <s v="SM-WILL"/>
    <x v="0"/>
    <n v="0.6"/>
    <n v="1279.2475799999995"/>
    <n v="1471.1347169999995"/>
    <n v="1471.1347169999995"/>
    <n v="1471.1347169999995"/>
    <n v="1471.13471699999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BD5798-F602-434B-AE34-E0423E37A5ED}"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4:G43" firstHeaderRow="0" firstDataRow="1" firstDataCol="1"/>
  <pivotFields count="8">
    <pivotField showAll="0"/>
    <pivotField axis="axisRow" showAll="0">
      <items count="9">
        <item x="1"/>
        <item x="5"/>
        <item x="2"/>
        <item x="7"/>
        <item x="4"/>
        <item x="0"/>
        <item x="3"/>
        <item x="6"/>
        <item t="default"/>
      </items>
    </pivotField>
    <pivotField dataField="1" showAll="0"/>
    <pivotField dataField="1" numFmtId="169" showAll="0"/>
    <pivotField dataField="1" numFmtId="169" showAll="0"/>
    <pivotField dataField="1" numFmtId="169" showAll="0"/>
    <pivotField dataField="1" numFmtId="169" showAll="0"/>
    <pivotField dataField="1" numFmtId="169" showAll="0"/>
  </pivotFields>
  <rowFields count="1">
    <field x="1"/>
  </rowFields>
  <rowItems count="9">
    <i>
      <x/>
    </i>
    <i>
      <x v="1"/>
    </i>
    <i>
      <x v="2"/>
    </i>
    <i>
      <x v="3"/>
    </i>
    <i>
      <x v="4"/>
    </i>
    <i>
      <x v="5"/>
    </i>
    <i>
      <x v="6"/>
    </i>
    <i>
      <x v="7"/>
    </i>
    <i t="grand">
      <x/>
    </i>
  </rowItems>
  <colFields count="1">
    <field x="-2"/>
  </colFields>
  <colItems count="6">
    <i>
      <x/>
    </i>
    <i i="1">
      <x v="1"/>
    </i>
    <i i="2">
      <x v="2"/>
    </i>
    <i i="3">
      <x v="3"/>
    </i>
    <i i="4">
      <x v="4"/>
    </i>
    <i i="5">
      <x v="5"/>
    </i>
  </colItems>
  <dataFields count="6">
    <dataField name="Sum of ha" fld="2" baseField="0" baseItem="0"/>
    <dataField name="Sum of 2026" fld="3" baseField="0" baseItem="0" numFmtId="169"/>
    <dataField name="Sum of 2027" fld="4" baseField="0" baseItem="0" numFmtId="169"/>
    <dataField name="Sum of 2028" fld="5" baseField="0" baseItem="0" numFmtId="169"/>
    <dataField name="Sum of 2029" fld="6" baseField="0" baseItem="0" numFmtId="169"/>
    <dataField name="Sum of 2030" fld="7" baseField="0" baseItem="0" numFmtId="169"/>
  </dataFields>
  <formats count="6">
    <format dxfId="14">
      <pivotArea type="all" dataOnly="0" outline="0" fieldPosition="0"/>
    </format>
    <format dxfId="13">
      <pivotArea outline="0" collapsedLevelsAreSubtotals="1" fieldPosition="0"/>
    </format>
    <format dxfId="12">
      <pivotArea field="1" type="button" dataOnly="0" labelOnly="1" outline="0" axis="axisRow" fieldPosition="0"/>
    </format>
    <format dxfId="11">
      <pivotArea dataOnly="0" labelOnly="1" fieldPosition="0">
        <references count="1">
          <reference field="1" count="0"/>
        </references>
      </pivotArea>
    </format>
    <format dxfId="10">
      <pivotArea dataOnly="0" labelOnly="1" grandRow="1" outline="0" fieldPosition="0"/>
    </format>
    <format dxfId="9">
      <pivotArea dataOnly="0" labelOnly="1" outline="0" fieldPosition="0">
        <references count="1">
          <reference field="4294967294" count="6">
            <x v="0"/>
            <x v="1"/>
            <x v="2"/>
            <x v="3"/>
            <x v="4"/>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EC6E9C-4B87-427B-A2A8-CFDA8D4A3A0E}"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O8" firstHeaderRow="0" firstDataRow="1" firstDataCol="1"/>
  <pivotFields count="23">
    <pivotField showAll="0"/>
    <pivotField axis="axisRow" showAll="0">
      <items count="7">
        <item m="1" x="5"/>
        <item x="0"/>
        <item x="1"/>
        <item x="2"/>
        <item x="3"/>
        <item x="4"/>
        <item t="default"/>
      </items>
    </pivotField>
    <pivotField showAll="0"/>
    <pivotField showAll="0"/>
    <pivotField dataField="1"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1">
    <field x="1"/>
  </rowFields>
  <rowItems count="6">
    <i>
      <x v="1"/>
    </i>
    <i>
      <x v="2"/>
    </i>
    <i>
      <x v="3"/>
    </i>
    <i>
      <x v="4"/>
    </i>
    <i>
      <x v="5"/>
    </i>
    <i t="grand">
      <x/>
    </i>
  </rowItems>
  <colFields count="1">
    <field x="-2"/>
  </colFields>
  <colItems count="14">
    <i>
      <x/>
    </i>
    <i i="1">
      <x v="1"/>
    </i>
    <i i="2">
      <x v="2"/>
    </i>
    <i i="3">
      <x v="3"/>
    </i>
    <i i="4">
      <x v="4"/>
    </i>
    <i i="5">
      <x v="5"/>
    </i>
    <i i="6">
      <x v="6"/>
    </i>
    <i i="7">
      <x v="7"/>
    </i>
    <i i="8">
      <x v="8"/>
    </i>
    <i i="9">
      <x v="9"/>
    </i>
    <i i="10">
      <x v="10"/>
    </i>
    <i i="11">
      <x v="11"/>
    </i>
    <i i="12">
      <x v="12"/>
    </i>
    <i i="13">
      <x v="13"/>
    </i>
  </colItems>
  <dataFields count="14">
    <dataField name="Hectares" fld="4" baseField="0" baseItem="0"/>
    <dataField name="Sum of DNIS 2023 " fld="10" baseField="0" baseItem="0" numFmtId="166"/>
    <dataField name="Sum of DNIS 2024" fld="11" baseField="0" baseItem="0" numFmtId="166"/>
    <dataField name="Sum of DNIS 2025" fld="12" baseField="0" baseItem="0" numFmtId="166"/>
    <dataField name="Sum of 2026" fld="13" baseField="0" baseItem="0" numFmtId="166"/>
    <dataField name="Sum of 2027" fld="14" baseField="0" baseItem="0" numFmtId="166"/>
    <dataField name="Sum of 2028" fld="15" baseField="0" baseItem="0" numFmtId="166"/>
    <dataField name="Sum of 2029" fld="16" baseField="0" baseItem="0" numFmtId="166"/>
    <dataField name="Sum of 2030" fld="17" baseField="0" baseItem="0" numFmtId="166"/>
    <dataField name="Sum of 2031" fld="18" baseField="0" baseItem="0" numFmtId="166"/>
    <dataField name="Sum of 2032" fld="19" baseField="0" baseItem="0" numFmtId="166"/>
    <dataField name="Sum of 2033" fld="20" baseField="0" baseItem="0" numFmtId="166"/>
    <dataField name="Sum of 2034" fld="21" baseField="0" baseItem="0" numFmtId="166"/>
    <dataField name="Sum of 2035" fld="22" baseField="0" baseItem="0" numFmtId="166"/>
  </dataFields>
  <formats count="10">
    <format dxfId="24">
      <pivotArea collapsedLevelsAreSubtotals="1" fieldPosition="0">
        <references count="2">
          <reference field="4294967294" count="13" selected="0">
            <x v="1"/>
            <x v="2"/>
            <x v="3"/>
            <x v="4"/>
            <x v="5"/>
            <x v="6"/>
            <x v="7"/>
            <x v="8"/>
            <x v="9"/>
            <x v="10"/>
            <x v="11"/>
            <x v="12"/>
            <x v="13"/>
          </reference>
          <reference field="1" count="4">
            <x v="1"/>
            <x v="2"/>
            <x v="3"/>
            <x v="4"/>
          </reference>
        </references>
      </pivotArea>
    </format>
    <format dxfId="23">
      <pivotArea field="1" type="button" dataOnly="0" labelOnly="1" outline="0" axis="axisRow" fieldPosition="0"/>
    </format>
    <format dxfId="22">
      <pivotArea dataOnly="0" labelOnly="1" outline="0" fieldPosition="0">
        <references count="1">
          <reference field="4294967294" count="14">
            <x v="0"/>
            <x v="1"/>
            <x v="2"/>
            <x v="3"/>
            <x v="4"/>
            <x v="5"/>
            <x v="6"/>
            <x v="7"/>
            <x v="8"/>
            <x v="9"/>
            <x v="10"/>
            <x v="11"/>
            <x v="12"/>
            <x v="13"/>
          </reference>
        </references>
      </pivotArea>
    </format>
    <format dxfId="21">
      <pivotArea outline="0" collapsedLevelsAreSubtotals="1" fieldPosition="0">
        <references count="1">
          <reference field="4294967294" count="13" selected="0">
            <x v="1"/>
            <x v="2"/>
            <x v="3"/>
            <x v="4"/>
            <x v="5"/>
            <x v="6"/>
            <x v="7"/>
            <x v="8"/>
            <x v="9"/>
            <x v="10"/>
            <x v="11"/>
            <x v="12"/>
            <x v="13"/>
          </reference>
        </references>
      </pivotArea>
    </format>
    <format dxfId="20">
      <pivotArea type="all" dataOnly="0" outline="0" fieldPosition="0"/>
    </format>
    <format dxfId="19">
      <pivotArea outline="0" collapsedLevelsAreSubtotals="1" fieldPosition="0"/>
    </format>
    <format dxfId="18">
      <pivotArea field="1" type="button" dataOnly="0" labelOnly="1" outline="0" axis="axisRow" fieldPosition="0"/>
    </format>
    <format dxfId="17">
      <pivotArea dataOnly="0" labelOnly="1" fieldPosition="0">
        <references count="1">
          <reference field="1" count="0"/>
        </references>
      </pivotArea>
    </format>
    <format dxfId="16">
      <pivotArea dataOnly="0" labelOnly="1" grandRow="1" outline="0" fieldPosition="0"/>
    </format>
    <format dxfId="15">
      <pivotArea dataOnly="0" labelOnly="1" outline="0" fieldPosition="0">
        <references count="1">
          <reference field="4294967294" count="14">
            <x v="0"/>
            <x v="1"/>
            <x v="2"/>
            <x v="3"/>
            <x v="4"/>
            <x v="5"/>
            <x v="6"/>
            <x v="7"/>
            <x v="8"/>
            <x v="9"/>
            <x v="10"/>
            <x v="11"/>
            <x v="12"/>
            <x v="1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D7FDD8C-BD89-4CBB-962D-E5FD48EE29DD}" name="Table5" displayName="Table5" ref="D20:J23" totalsRowShown="0" headerRowDxfId="42" dataDxfId="41">
  <autoFilter ref="D20:J23" xr:uid="{0D7FDD8C-BD89-4CBB-962D-E5FD48EE29DD}"/>
  <tableColumns count="7">
    <tableColumn id="1" xr3:uid="{E3FBE3B9-1A84-4E25-BE42-2E27E0C60F2D}" name=" (EUR * 1000)" dataDxfId="40"/>
    <tableColumn id="2" xr3:uid="{20CECE2B-C241-4F96-A08E-F0A05E88B529}" name="2026" dataDxfId="39"/>
    <tableColumn id="3" xr3:uid="{FCC1E85E-A2B7-4200-A5D5-BC1E57EF3D8C}" name="2027" dataDxfId="38"/>
    <tableColumn id="4" xr3:uid="{19B500B5-37B4-4AD3-B030-237685023DFA}" name="2028" dataDxfId="37"/>
    <tableColumn id="5" xr3:uid="{F54B7051-6007-4665-BF8A-AF44B87DDEFA}" name="2029" dataDxfId="36"/>
    <tableColumn id="6" xr3:uid="{9DD4E7A1-A79B-4759-8B84-223CA4F28C05}" name="2030" dataDxfId="35"/>
    <tableColumn id="7" xr3:uid="{9157AF95-D23F-4D54-A53A-BDC61D09E15F}" name="2031" dataDxfId="34"/>
  </tableColumns>
  <tableStyleInfo name="TableStyleDark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ADEBE6A-3512-4652-9ECC-DB42B16CF992}" name="Table7" displayName="Table7" ref="D14:J17" totalsRowShown="0" headerRowDxfId="33" dataDxfId="32">
  <autoFilter ref="D14:J17" xr:uid="{BADEBE6A-3512-4652-9ECC-DB42B16CF992}"/>
  <tableColumns count="7">
    <tableColumn id="1" xr3:uid="{FC54766E-D4F1-44D0-BB17-31EF966882BE}" name=" (EUR * 1000)" dataDxfId="31"/>
    <tableColumn id="2" xr3:uid="{E1464929-E99A-49C1-BBA5-72F3D31D9C4D}" name="2026" dataDxfId="30"/>
    <tableColumn id="3" xr3:uid="{38FFDF50-00CC-422C-B658-D7943CA1B511}" name="2027" dataDxfId="29"/>
    <tableColumn id="4" xr3:uid="{8733180A-9E33-424D-BC9E-B96F2CF159CD}" name="2028" dataDxfId="28"/>
    <tableColumn id="5" xr3:uid="{84D62F35-7475-4C87-98B7-7B1E11B09F1F}" name="2029" dataDxfId="27"/>
    <tableColumn id="6" xr3:uid="{BAE7F8A1-381D-4FD7-B14A-736823B64AAA}" name="2030" dataDxfId="26"/>
    <tableColumn id="7" xr3:uid="{E02DDE87-0A3D-4A19-B188-BF361B2AFEAA}" name="2031" dataDxfId="25"/>
  </tableColumns>
  <tableStyleInfo name="TableStyleDark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F9441F-3A5B-4A5F-AC92-65A2FE13995D}" name="Table1" displayName="Table1" ref="A73:G76" totalsRowShown="0" headerRowDxfId="8" dataDxfId="7">
  <autoFilter ref="A73:G76" xr:uid="{09F9441F-3A5B-4A5F-AC92-65A2FE13995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7D16FEE-7DCD-4A14-99C1-249EC5A2A01D}" name=" (EUR * 1000)" dataDxfId="6"/>
    <tableColumn id="2" xr3:uid="{14044551-324F-4C84-AADD-9B242B4919DE}" name="2026" dataDxfId="5" dataCellStyle="Comma"/>
    <tableColumn id="3" xr3:uid="{9A0A625C-DE2B-4B47-8FF7-C48F9285A08A}" name="2027" dataDxfId="4" dataCellStyle="Comma"/>
    <tableColumn id="4" xr3:uid="{85921FDB-6F02-4A42-BF85-0010C6F95B91}" name="2028" dataDxfId="3" dataCellStyle="Comma"/>
    <tableColumn id="5" xr3:uid="{CA113601-D613-4781-A4C8-66A2157280F8}" name="2029" dataDxfId="2" dataCellStyle="Comma"/>
    <tableColumn id="6" xr3:uid="{2887C709-9CA7-439E-9348-B5A93C5C81DF}" name="2030" dataDxfId="1" dataCellStyle="Comma"/>
    <tableColumn id="7" xr3:uid="{8DFE3727-51B2-40EA-AC30-3D239EBBC47A}" name="2031" dataDxfId="0" dataCellStyle="Comma"/>
  </tableColumns>
  <tableStyleInfo name="TableStyleDark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6052F-1C59-439B-A706-C8D42080C81C}">
  <dimension ref="A1:J23"/>
  <sheetViews>
    <sheetView tabSelected="1" zoomScale="190" zoomScaleNormal="190" workbookViewId="0">
      <selection activeCell="B3" sqref="B3"/>
    </sheetView>
  </sheetViews>
  <sheetFormatPr defaultRowHeight="15" x14ac:dyDescent="0.25"/>
  <cols>
    <col min="1" max="1" width="32.5703125" customWidth="1"/>
    <col min="2" max="2" width="9.5703125" bestFit="1" customWidth="1"/>
    <col min="4" max="4" width="12.7109375" customWidth="1"/>
  </cols>
  <sheetData>
    <row r="1" spans="1:10" ht="18.75" x14ac:dyDescent="0.25">
      <c r="A1" s="129" t="s">
        <v>0</v>
      </c>
      <c r="B1" s="129"/>
    </row>
    <row r="2" spans="1:10" x14ac:dyDescent="0.25">
      <c r="A2" s="21" t="s">
        <v>1</v>
      </c>
      <c r="B2" s="20">
        <v>19.2</v>
      </c>
    </row>
    <row r="3" spans="1:10" x14ac:dyDescent="0.25">
      <c r="A3" s="21" t="s">
        <v>2</v>
      </c>
      <c r="B3" s="25">
        <v>0.04</v>
      </c>
    </row>
    <row r="4" spans="1:10" x14ac:dyDescent="0.25">
      <c r="A4" s="21" t="s">
        <v>3</v>
      </c>
      <c r="B4" s="25">
        <v>0.25</v>
      </c>
    </row>
    <row r="5" spans="1:10" x14ac:dyDescent="0.25">
      <c r="A5" s="21" t="s">
        <v>4</v>
      </c>
      <c r="B5" s="28">
        <v>5</v>
      </c>
    </row>
    <row r="6" spans="1:10" x14ac:dyDescent="0.25">
      <c r="A6" s="21" t="s">
        <v>45</v>
      </c>
      <c r="B6" s="27">
        <v>85000</v>
      </c>
    </row>
    <row r="7" spans="1:10" x14ac:dyDescent="0.25">
      <c r="A7" s="21" t="s">
        <v>51</v>
      </c>
      <c r="B7" s="25">
        <v>0.06</v>
      </c>
    </row>
    <row r="8" spans="1:10" x14ac:dyDescent="0.25">
      <c r="A8" s="21" t="s">
        <v>66</v>
      </c>
      <c r="B8" s="28">
        <v>58</v>
      </c>
    </row>
    <row r="9" spans="1:10" x14ac:dyDescent="0.25">
      <c r="A9" s="21" t="s">
        <v>69</v>
      </c>
      <c r="B9" s="21">
        <v>70000</v>
      </c>
    </row>
    <row r="10" spans="1:10" x14ac:dyDescent="0.25">
      <c r="A10" s="21" t="s">
        <v>70</v>
      </c>
      <c r="B10" s="20">
        <v>155</v>
      </c>
    </row>
    <row r="11" spans="1:10" x14ac:dyDescent="0.25">
      <c r="A11" s="21" t="s">
        <v>71</v>
      </c>
      <c r="B11" s="21">
        <v>655000</v>
      </c>
    </row>
    <row r="13" spans="1:10" x14ac:dyDescent="0.25">
      <c r="A13" s="22" t="s">
        <v>304</v>
      </c>
    </row>
    <row r="14" spans="1:10" x14ac:dyDescent="0.25">
      <c r="A14" s="85" t="s">
        <v>82</v>
      </c>
      <c r="B14" s="21">
        <v>48</v>
      </c>
      <c r="D14" s="20" t="s">
        <v>64</v>
      </c>
      <c r="E14" s="20" t="s">
        <v>58</v>
      </c>
      <c r="F14" s="20" t="s">
        <v>59</v>
      </c>
      <c r="G14" s="20" t="s">
        <v>60</v>
      </c>
      <c r="H14" s="20" t="s">
        <v>61</v>
      </c>
      <c r="I14" s="20" t="s">
        <v>62</v>
      </c>
      <c r="J14" s="20" t="s">
        <v>63</v>
      </c>
    </row>
    <row r="15" spans="1:10" x14ac:dyDescent="0.25">
      <c r="A15" s="85">
        <v>816</v>
      </c>
      <c r="B15" s="21">
        <v>61.5</v>
      </c>
      <c r="D15" s="20" t="s">
        <v>22</v>
      </c>
      <c r="E15" s="119">
        <v>4521.2765957446809</v>
      </c>
      <c r="F15" s="119">
        <v>4702.1276595744675</v>
      </c>
      <c r="G15" s="119">
        <v>4890.2127659574462</v>
      </c>
      <c r="H15" s="119">
        <v>5085.8212765957442</v>
      </c>
      <c r="I15" s="119">
        <v>5289.2541276595739</v>
      </c>
      <c r="J15" s="119">
        <v>5500.8242927659576</v>
      </c>
    </row>
    <row r="16" spans="1:10" x14ac:dyDescent="0.25">
      <c r="A16" s="85" t="s">
        <v>145</v>
      </c>
      <c r="B16" s="21">
        <v>59.5</v>
      </c>
      <c r="D16" s="20" t="s">
        <v>10</v>
      </c>
      <c r="E16" s="119">
        <v>708.86135636170195</v>
      </c>
      <c r="F16" s="119">
        <v>810.74603887148908</v>
      </c>
      <c r="G16" s="119">
        <v>891.69680089868916</v>
      </c>
      <c r="H16" s="119">
        <v>984.39053951129415</v>
      </c>
      <c r="I16" s="119">
        <v>1083.6772549488387</v>
      </c>
      <c r="J16" s="119">
        <v>1176.4477608735619</v>
      </c>
    </row>
    <row r="17" spans="1:10" x14ac:dyDescent="0.25">
      <c r="A17" s="85" t="s">
        <v>187</v>
      </c>
      <c r="B17" s="21">
        <v>49.5</v>
      </c>
      <c r="D17" s="20" t="s">
        <v>32</v>
      </c>
      <c r="E17" s="119">
        <v>1405.7488214556731</v>
      </c>
      <c r="F17" s="119">
        <v>2181.3615420986521</v>
      </c>
      <c r="G17" s="119">
        <v>3024.9213768152222</v>
      </c>
      <c r="H17" s="119">
        <v>3948.8493878316713</v>
      </c>
      <c r="I17" s="119">
        <v>4958.3912439369178</v>
      </c>
      <c r="J17" s="119">
        <v>6048.972761613365</v>
      </c>
    </row>
    <row r="18" spans="1:10" x14ac:dyDescent="0.25">
      <c r="A18" s="85"/>
      <c r="B18" s="21"/>
      <c r="D18" s="20"/>
      <c r="E18" s="20"/>
      <c r="F18" s="20"/>
      <c r="G18" s="20"/>
      <c r="H18" s="20"/>
      <c r="I18" s="20"/>
      <c r="J18" s="20"/>
    </row>
    <row r="19" spans="1:10" x14ac:dyDescent="0.25">
      <c r="A19" s="22" t="s">
        <v>303</v>
      </c>
      <c r="D19" s="20"/>
      <c r="E19" s="20"/>
      <c r="F19" s="20"/>
      <c r="G19" s="20"/>
      <c r="H19" s="20"/>
      <c r="I19" s="20"/>
      <c r="J19" s="20"/>
    </row>
    <row r="20" spans="1:10" x14ac:dyDescent="0.25">
      <c r="A20" s="85" t="s">
        <v>82</v>
      </c>
      <c r="B20" s="21">
        <v>39</v>
      </c>
      <c r="D20" s="20" t="s">
        <v>64</v>
      </c>
      <c r="E20" s="20" t="s">
        <v>58</v>
      </c>
      <c r="F20" s="20" t="s">
        <v>59</v>
      </c>
      <c r="G20" s="20" t="s">
        <v>60</v>
      </c>
      <c r="H20" s="20" t="s">
        <v>61</v>
      </c>
      <c r="I20" s="20" t="s">
        <v>62</v>
      </c>
      <c r="J20" s="20" t="s">
        <v>63</v>
      </c>
    </row>
    <row r="21" spans="1:10" x14ac:dyDescent="0.25">
      <c r="A21" s="85">
        <v>816</v>
      </c>
      <c r="B21" s="21">
        <v>63.97</v>
      </c>
      <c r="D21" s="20" t="s">
        <v>22</v>
      </c>
      <c r="E21" s="119">
        <v>4521.2765957446809</v>
      </c>
      <c r="F21" s="119">
        <v>4702.1276595744675</v>
      </c>
      <c r="G21" s="119">
        <v>4890.2127659574462</v>
      </c>
      <c r="H21" s="119">
        <v>5085.8212765957442</v>
      </c>
      <c r="I21" s="119">
        <v>5289.2541276595739</v>
      </c>
      <c r="J21" s="119">
        <v>5500.8242927659576</v>
      </c>
    </row>
    <row r="22" spans="1:10" x14ac:dyDescent="0.25">
      <c r="A22" s="85" t="s">
        <v>145</v>
      </c>
      <c r="B22" s="21">
        <v>63.14</v>
      </c>
      <c r="D22" s="20" t="s">
        <v>10</v>
      </c>
      <c r="E22" s="119">
        <v>604.46307625531915</v>
      </c>
      <c r="F22" s="119">
        <v>700.02189196702136</v>
      </c>
      <c r="G22" s="119">
        <v>777.75942406470153</v>
      </c>
      <c r="H22" s="119">
        <v>867.24047154037009</v>
      </c>
      <c r="I22" s="119">
        <v>963.03222520513157</v>
      </c>
      <c r="J22" s="119">
        <v>1051.4051836744777</v>
      </c>
    </row>
    <row r="23" spans="1:10" x14ac:dyDescent="0.25">
      <c r="A23" s="85" t="s">
        <v>187</v>
      </c>
      <c r="B23" s="21">
        <v>48</v>
      </c>
      <c r="D23" s="20" t="s">
        <v>32</v>
      </c>
      <c r="E23" s="119">
        <v>1327.4501113758863</v>
      </c>
      <c r="F23" s="119">
        <v>2020.0197218405144</v>
      </c>
      <c r="G23" s="119">
        <v>2778.1265239315935</v>
      </c>
      <c r="H23" s="119">
        <v>3614.1919839698503</v>
      </c>
      <c r="I23" s="119">
        <v>4533.2500677673161</v>
      </c>
      <c r="J23" s="119">
        <v>5530.0496525444514</v>
      </c>
    </row>
  </sheetData>
  <mergeCells count="1">
    <mergeCell ref="A1:B1"/>
  </mergeCells>
  <pageMargins left="0.7" right="0.7" top="0.75" bottom="0.75" header="0.3" footer="0.3"/>
  <pageSetup orientation="portrait"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45252-18BE-4CDA-928E-EC3938E0C0E8}">
  <sheetPr>
    <outlinePr summaryBelow="0"/>
    <pageSetUpPr autoPageBreaks="0"/>
  </sheetPr>
  <dimension ref="A1:W76"/>
  <sheetViews>
    <sheetView zoomScale="145" zoomScaleNormal="145" workbookViewId="0">
      <pane xSplit="1" ySplit="1" topLeftCell="B2" activePane="bottomRight" state="frozen"/>
      <selection pane="topRight" activeCell="B1" sqref="B1"/>
      <selection pane="bottomLeft" activeCell="A3" sqref="A3"/>
      <selection pane="bottomRight" activeCell="D18" sqref="D18"/>
    </sheetView>
  </sheetViews>
  <sheetFormatPr defaultRowHeight="12.75" customHeight="1" x14ac:dyDescent="0.25"/>
  <cols>
    <col min="1" max="1" width="10.28515625" style="99" bestFit="1" customWidth="1"/>
    <col min="2" max="2" width="10.85546875" style="99" bestFit="1" customWidth="1"/>
    <col min="3" max="3" width="8.42578125" style="99" bestFit="1" customWidth="1"/>
    <col min="4" max="4" width="18.140625" style="101" bestFit="1" customWidth="1"/>
    <col min="5" max="5" width="4.85546875" style="99" bestFit="1" customWidth="1"/>
    <col min="6" max="6" width="9.7109375" style="99" bestFit="1" customWidth="1"/>
    <col min="7" max="7" width="8.85546875" style="99" bestFit="1" customWidth="1"/>
    <col min="8" max="8" width="8.140625" style="99" bestFit="1" customWidth="1"/>
    <col min="9" max="9" width="10.5703125" style="99" bestFit="1" customWidth="1"/>
    <col min="10" max="10" width="4.140625" style="99" bestFit="1" customWidth="1"/>
    <col min="11" max="11" width="9.5703125" style="105" bestFit="1" customWidth="1"/>
    <col min="12" max="23" width="6.5703125" style="105" bestFit="1" customWidth="1"/>
    <col min="24" max="237" width="6.85546875" style="99" customWidth="1"/>
    <col min="238" max="16384" width="9.140625" style="99"/>
  </cols>
  <sheetData>
    <row r="1" spans="1:23" s="96" customFormat="1" ht="11.25" x14ac:dyDescent="0.25">
      <c r="A1" s="96" t="s">
        <v>188</v>
      </c>
      <c r="B1" s="96" t="s">
        <v>172</v>
      </c>
      <c r="C1" s="96" t="s">
        <v>173</v>
      </c>
      <c r="D1" s="97" t="s">
        <v>171</v>
      </c>
      <c r="E1" s="96" t="s">
        <v>174</v>
      </c>
      <c r="F1" s="96" t="s">
        <v>175</v>
      </c>
      <c r="G1" s="96" t="s">
        <v>155</v>
      </c>
      <c r="H1" s="96" t="s">
        <v>154</v>
      </c>
      <c r="I1" s="96" t="s">
        <v>176</v>
      </c>
      <c r="J1" s="96" t="s">
        <v>177</v>
      </c>
      <c r="K1" s="98" t="s">
        <v>189</v>
      </c>
      <c r="L1" s="98">
        <v>2024</v>
      </c>
      <c r="M1" s="98">
        <v>2025</v>
      </c>
      <c r="N1" s="98">
        <v>2026</v>
      </c>
      <c r="O1" s="98">
        <f>N1+1</f>
        <v>2027</v>
      </c>
      <c r="P1" s="98">
        <f t="shared" ref="P1:W1" si="0">O1+1</f>
        <v>2028</v>
      </c>
      <c r="Q1" s="98">
        <f t="shared" si="0"/>
        <v>2029</v>
      </c>
      <c r="R1" s="98">
        <f t="shared" si="0"/>
        <v>2030</v>
      </c>
      <c r="S1" s="98">
        <f t="shared" si="0"/>
        <v>2031</v>
      </c>
      <c r="T1" s="98">
        <f t="shared" si="0"/>
        <v>2032</v>
      </c>
      <c r="U1" s="98">
        <f t="shared" si="0"/>
        <v>2033</v>
      </c>
      <c r="V1" s="98">
        <f t="shared" si="0"/>
        <v>2034</v>
      </c>
      <c r="W1" s="98">
        <f t="shared" si="0"/>
        <v>2035</v>
      </c>
    </row>
    <row r="2" spans="1:23" ht="11.25" x14ac:dyDescent="0.25">
      <c r="A2" s="99">
        <v>1</v>
      </c>
      <c r="B2" s="99" t="s">
        <v>82</v>
      </c>
      <c r="C2" s="100">
        <v>476</v>
      </c>
      <c r="E2" s="102">
        <v>2.4500000000000002</v>
      </c>
      <c r="F2" s="103">
        <v>1166.2</v>
      </c>
      <c r="G2" s="99" t="s">
        <v>87</v>
      </c>
      <c r="H2" s="99" t="s">
        <v>80</v>
      </c>
      <c r="I2" s="104">
        <v>42313</v>
      </c>
      <c r="J2" s="99">
        <v>10</v>
      </c>
      <c r="K2" s="105">
        <v>6728.4000000000005</v>
      </c>
      <c r="L2" s="105">
        <v>13265</v>
      </c>
      <c r="M2" s="105">
        <v>11169</v>
      </c>
      <c r="N2" s="105">
        <f t="shared" ref="N2:N10" si="1">(L2+M2)/2</f>
        <v>12217</v>
      </c>
      <c r="O2" s="105">
        <f>N2</f>
        <v>12217</v>
      </c>
      <c r="P2" s="105">
        <f t="shared" ref="P2:W2" si="2">O2</f>
        <v>12217</v>
      </c>
      <c r="Q2" s="105">
        <f t="shared" si="2"/>
        <v>12217</v>
      </c>
      <c r="R2" s="105">
        <f t="shared" si="2"/>
        <v>12217</v>
      </c>
      <c r="S2" s="105">
        <f t="shared" si="2"/>
        <v>12217</v>
      </c>
      <c r="T2" s="105">
        <f t="shared" si="2"/>
        <v>12217</v>
      </c>
      <c r="U2" s="105">
        <f t="shared" si="2"/>
        <v>12217</v>
      </c>
      <c r="V2" s="105">
        <f t="shared" si="2"/>
        <v>12217</v>
      </c>
      <c r="W2" s="105">
        <f t="shared" si="2"/>
        <v>12217</v>
      </c>
    </row>
    <row r="3" spans="1:23" ht="11.25" x14ac:dyDescent="0.2">
      <c r="A3" s="99" t="s">
        <v>178</v>
      </c>
      <c r="B3" s="99" t="s">
        <v>82</v>
      </c>
      <c r="C3" s="100">
        <v>476</v>
      </c>
      <c r="E3" s="102">
        <v>0.81</v>
      </c>
      <c r="F3" s="103">
        <v>385.56</v>
      </c>
      <c r="G3" s="99" t="s">
        <v>87</v>
      </c>
      <c r="H3" s="99" t="s">
        <v>80</v>
      </c>
      <c r="I3" s="104">
        <v>42313</v>
      </c>
      <c r="J3" s="99">
        <v>10</v>
      </c>
      <c r="K3" s="106">
        <v>2430</v>
      </c>
      <c r="L3" s="105">
        <v>4177</v>
      </c>
      <c r="M3" s="105">
        <v>4996</v>
      </c>
      <c r="N3" s="105">
        <f t="shared" si="1"/>
        <v>4586.5</v>
      </c>
      <c r="O3" s="105">
        <f t="shared" ref="O3:W15" si="3">N3</f>
        <v>4586.5</v>
      </c>
      <c r="P3" s="105">
        <f t="shared" si="3"/>
        <v>4586.5</v>
      </c>
      <c r="Q3" s="105">
        <f t="shared" si="3"/>
        <v>4586.5</v>
      </c>
      <c r="R3" s="105">
        <f t="shared" si="3"/>
        <v>4586.5</v>
      </c>
      <c r="S3" s="105">
        <f t="shared" si="3"/>
        <v>4586.5</v>
      </c>
      <c r="T3" s="105">
        <f t="shared" si="3"/>
        <v>4586.5</v>
      </c>
      <c r="U3" s="105">
        <f t="shared" si="3"/>
        <v>4586.5</v>
      </c>
      <c r="V3" s="105">
        <f t="shared" si="3"/>
        <v>4586.5</v>
      </c>
      <c r="W3" s="105">
        <f t="shared" si="3"/>
        <v>4586.5</v>
      </c>
    </row>
    <row r="4" spans="1:23" ht="11.25" x14ac:dyDescent="0.2">
      <c r="A4" s="99" t="s">
        <v>179</v>
      </c>
      <c r="B4" s="99" t="s">
        <v>82</v>
      </c>
      <c r="C4" s="100">
        <v>476</v>
      </c>
      <c r="E4" s="102">
        <v>2</v>
      </c>
      <c r="F4" s="103">
        <v>952</v>
      </c>
      <c r="G4" s="99" t="s">
        <v>87</v>
      </c>
      <c r="H4" s="99" t="s">
        <v>80</v>
      </c>
      <c r="I4" s="104">
        <v>42313</v>
      </c>
      <c r="J4" s="99">
        <v>10</v>
      </c>
      <c r="K4" s="106">
        <v>5246.64</v>
      </c>
      <c r="L4" s="105">
        <v>12512</v>
      </c>
      <c r="M4" s="105">
        <v>10822</v>
      </c>
      <c r="N4" s="105">
        <f t="shared" si="1"/>
        <v>11667</v>
      </c>
      <c r="O4" s="105">
        <f t="shared" si="3"/>
        <v>11667</v>
      </c>
      <c r="P4" s="105">
        <f t="shared" si="3"/>
        <v>11667</v>
      </c>
      <c r="Q4" s="105">
        <f t="shared" si="3"/>
        <v>11667</v>
      </c>
      <c r="R4" s="105">
        <f t="shared" si="3"/>
        <v>11667</v>
      </c>
      <c r="S4" s="105">
        <f t="shared" si="3"/>
        <v>11667</v>
      </c>
      <c r="T4" s="105">
        <f t="shared" si="3"/>
        <v>11667</v>
      </c>
      <c r="U4" s="105">
        <f t="shared" si="3"/>
        <v>11667</v>
      </c>
      <c r="V4" s="105">
        <f t="shared" si="3"/>
        <v>11667</v>
      </c>
      <c r="W4" s="105">
        <f t="shared" si="3"/>
        <v>11667</v>
      </c>
    </row>
    <row r="5" spans="1:23" ht="11.25" x14ac:dyDescent="0.2">
      <c r="A5" s="99" t="s">
        <v>180</v>
      </c>
      <c r="B5" s="99" t="s">
        <v>82</v>
      </c>
      <c r="C5" s="100">
        <v>476</v>
      </c>
      <c r="D5" s="101">
        <v>2</v>
      </c>
      <c r="E5" s="102">
        <v>2.25</v>
      </c>
      <c r="F5" s="103">
        <v>1071</v>
      </c>
      <c r="G5" s="99" t="s">
        <v>87</v>
      </c>
      <c r="H5" s="99" t="s">
        <v>80</v>
      </c>
      <c r="I5" s="104">
        <v>42313</v>
      </c>
      <c r="J5" s="99">
        <v>10</v>
      </c>
      <c r="K5" s="106">
        <v>6434.64</v>
      </c>
      <c r="L5" s="105">
        <v>12072</v>
      </c>
      <c r="M5" s="105">
        <v>12528</v>
      </c>
      <c r="N5" s="105">
        <f t="shared" si="1"/>
        <v>12300</v>
      </c>
      <c r="O5" s="105">
        <f t="shared" si="3"/>
        <v>12300</v>
      </c>
      <c r="P5" s="105">
        <f t="shared" si="3"/>
        <v>12300</v>
      </c>
      <c r="Q5" s="105">
        <f t="shared" si="3"/>
        <v>12300</v>
      </c>
      <c r="R5" s="105">
        <f t="shared" si="3"/>
        <v>12300</v>
      </c>
      <c r="S5" s="105">
        <f t="shared" si="3"/>
        <v>12300</v>
      </c>
      <c r="T5" s="105">
        <f t="shared" si="3"/>
        <v>12300</v>
      </c>
      <c r="U5" s="105">
        <f t="shared" si="3"/>
        <v>12300</v>
      </c>
      <c r="V5" s="105">
        <f t="shared" si="3"/>
        <v>12300</v>
      </c>
      <c r="W5" s="105">
        <f t="shared" si="3"/>
        <v>12300</v>
      </c>
    </row>
    <row r="6" spans="1:23" ht="11.25" x14ac:dyDescent="0.2">
      <c r="A6" s="99" t="s">
        <v>181</v>
      </c>
      <c r="B6" s="99" t="s">
        <v>82</v>
      </c>
      <c r="C6" s="100">
        <v>476</v>
      </c>
      <c r="E6" s="102">
        <v>1.45</v>
      </c>
      <c r="F6" s="103">
        <v>690.2</v>
      </c>
      <c r="G6" s="99" t="s">
        <v>87</v>
      </c>
      <c r="H6" s="99" t="s">
        <v>80</v>
      </c>
      <c r="I6" s="104">
        <v>42313</v>
      </c>
      <c r="J6" s="99">
        <v>10</v>
      </c>
      <c r="K6" s="106">
        <v>4235.76</v>
      </c>
      <c r="L6" s="105">
        <v>8303</v>
      </c>
      <c r="M6" s="105">
        <v>7219</v>
      </c>
      <c r="N6" s="105">
        <f t="shared" si="1"/>
        <v>7761</v>
      </c>
      <c r="O6" s="105">
        <f t="shared" si="3"/>
        <v>7761</v>
      </c>
      <c r="P6" s="105">
        <f t="shared" si="3"/>
        <v>7761</v>
      </c>
      <c r="Q6" s="105">
        <f t="shared" si="3"/>
        <v>7761</v>
      </c>
      <c r="R6" s="105">
        <f t="shared" si="3"/>
        <v>7761</v>
      </c>
      <c r="S6" s="105">
        <f t="shared" si="3"/>
        <v>7761</v>
      </c>
      <c r="T6" s="105">
        <f t="shared" si="3"/>
        <v>7761</v>
      </c>
      <c r="U6" s="105">
        <f t="shared" si="3"/>
        <v>7761</v>
      </c>
      <c r="V6" s="105">
        <f t="shared" si="3"/>
        <v>7761</v>
      </c>
      <c r="W6" s="105">
        <f t="shared" si="3"/>
        <v>7761</v>
      </c>
    </row>
    <row r="7" spans="1:23" ht="11.25" x14ac:dyDescent="0.2">
      <c r="A7" s="99" t="s">
        <v>182</v>
      </c>
      <c r="B7" s="99" t="s">
        <v>82</v>
      </c>
      <c r="C7" s="100">
        <v>476</v>
      </c>
      <c r="E7" s="102">
        <v>0.6</v>
      </c>
      <c r="F7" s="103">
        <v>285.60000000000002</v>
      </c>
      <c r="G7" s="99" t="s">
        <v>87</v>
      </c>
      <c r="H7" s="99" t="s">
        <v>80</v>
      </c>
      <c r="I7" s="104">
        <v>42313</v>
      </c>
      <c r="J7" s="99">
        <v>10</v>
      </c>
      <c r="K7" s="106">
        <v>2324.16</v>
      </c>
      <c r="L7" s="105">
        <v>4025</v>
      </c>
      <c r="M7" s="105">
        <v>3465</v>
      </c>
      <c r="N7" s="105">
        <f t="shared" si="1"/>
        <v>3745</v>
      </c>
      <c r="O7" s="105">
        <f t="shared" si="3"/>
        <v>3745</v>
      </c>
      <c r="P7" s="105">
        <f t="shared" si="3"/>
        <v>3745</v>
      </c>
      <c r="Q7" s="105">
        <f t="shared" si="3"/>
        <v>3745</v>
      </c>
      <c r="R7" s="105">
        <f t="shared" si="3"/>
        <v>3745</v>
      </c>
      <c r="S7" s="105">
        <f t="shared" si="3"/>
        <v>3745</v>
      </c>
      <c r="T7" s="105">
        <f t="shared" si="3"/>
        <v>3745</v>
      </c>
      <c r="U7" s="105">
        <f t="shared" si="3"/>
        <v>3745</v>
      </c>
      <c r="V7" s="105">
        <f t="shared" si="3"/>
        <v>3745</v>
      </c>
      <c r="W7" s="105">
        <f t="shared" si="3"/>
        <v>3745</v>
      </c>
    </row>
    <row r="8" spans="1:23" ht="11.25" x14ac:dyDescent="0.2">
      <c r="A8" s="99" t="s">
        <v>183</v>
      </c>
      <c r="B8" s="99" t="s">
        <v>82</v>
      </c>
      <c r="C8" s="100">
        <v>476</v>
      </c>
      <c r="E8" s="102">
        <v>1.62</v>
      </c>
      <c r="F8" s="103">
        <v>771.12</v>
      </c>
      <c r="G8" s="99" t="s">
        <v>87</v>
      </c>
      <c r="H8" s="99" t="s">
        <v>80</v>
      </c>
      <c r="I8" s="104">
        <v>42313</v>
      </c>
      <c r="J8" s="99">
        <v>10</v>
      </c>
      <c r="K8" s="106">
        <v>6426</v>
      </c>
      <c r="L8" s="105">
        <v>8827</v>
      </c>
      <c r="M8" s="105">
        <v>8251</v>
      </c>
      <c r="N8" s="105">
        <f t="shared" si="1"/>
        <v>8539</v>
      </c>
      <c r="O8" s="105">
        <f t="shared" si="3"/>
        <v>8539</v>
      </c>
      <c r="P8" s="105">
        <f t="shared" si="3"/>
        <v>8539</v>
      </c>
      <c r="Q8" s="105">
        <f t="shared" si="3"/>
        <v>8539</v>
      </c>
      <c r="R8" s="105">
        <f t="shared" si="3"/>
        <v>8539</v>
      </c>
      <c r="S8" s="105">
        <f t="shared" si="3"/>
        <v>8539</v>
      </c>
      <c r="T8" s="105">
        <f t="shared" si="3"/>
        <v>8539</v>
      </c>
      <c r="U8" s="105">
        <f t="shared" si="3"/>
        <v>8539</v>
      </c>
      <c r="V8" s="105">
        <f t="shared" si="3"/>
        <v>8539</v>
      </c>
      <c r="W8" s="105">
        <f t="shared" si="3"/>
        <v>8539</v>
      </c>
    </row>
    <row r="9" spans="1:23" ht="11.25" x14ac:dyDescent="0.2">
      <c r="A9" s="99" t="s">
        <v>184</v>
      </c>
      <c r="B9" s="99" t="s">
        <v>82</v>
      </c>
      <c r="C9" s="100">
        <v>476</v>
      </c>
      <c r="E9" s="102">
        <v>1.55</v>
      </c>
      <c r="F9" s="103">
        <v>737.8</v>
      </c>
      <c r="G9" s="99" t="s">
        <v>87</v>
      </c>
      <c r="H9" s="99" t="s">
        <v>80</v>
      </c>
      <c r="I9" s="104">
        <v>42313</v>
      </c>
      <c r="J9" s="99">
        <v>10</v>
      </c>
      <c r="K9" s="106">
        <v>6147.3600000000006</v>
      </c>
      <c r="L9" s="105">
        <v>8675</v>
      </c>
      <c r="M9" s="105">
        <v>7599</v>
      </c>
      <c r="N9" s="105">
        <f t="shared" si="1"/>
        <v>8137</v>
      </c>
      <c r="O9" s="105">
        <f t="shared" si="3"/>
        <v>8137</v>
      </c>
      <c r="P9" s="105">
        <f t="shared" si="3"/>
        <v>8137</v>
      </c>
      <c r="Q9" s="105">
        <f t="shared" si="3"/>
        <v>8137</v>
      </c>
      <c r="R9" s="105">
        <f t="shared" si="3"/>
        <v>8137</v>
      </c>
      <c r="S9" s="105">
        <f t="shared" si="3"/>
        <v>8137</v>
      </c>
      <c r="T9" s="105">
        <f t="shared" si="3"/>
        <v>8137</v>
      </c>
      <c r="U9" s="105">
        <f t="shared" si="3"/>
        <v>8137</v>
      </c>
      <c r="V9" s="105">
        <f t="shared" si="3"/>
        <v>8137</v>
      </c>
      <c r="W9" s="105">
        <f t="shared" si="3"/>
        <v>8137</v>
      </c>
    </row>
    <row r="10" spans="1:23" ht="11.25" x14ac:dyDescent="0.2">
      <c r="A10" s="99" t="s">
        <v>185</v>
      </c>
      <c r="B10" s="99" t="s">
        <v>82</v>
      </c>
      <c r="C10" s="100">
        <v>476</v>
      </c>
      <c r="E10" s="102">
        <v>1.33</v>
      </c>
      <c r="F10" s="103">
        <v>633.08000000000004</v>
      </c>
      <c r="G10" s="99" t="s">
        <v>87</v>
      </c>
      <c r="H10" s="99" t="s">
        <v>80</v>
      </c>
      <c r="I10" s="104">
        <v>42313</v>
      </c>
      <c r="J10" s="99">
        <v>10</v>
      </c>
      <c r="K10" s="106">
        <v>4726.08</v>
      </c>
      <c r="L10" s="105">
        <v>4512</v>
      </c>
      <c r="M10" s="105">
        <v>4480</v>
      </c>
      <c r="N10" s="105">
        <f t="shared" si="1"/>
        <v>4496</v>
      </c>
      <c r="O10" s="105">
        <f t="shared" si="3"/>
        <v>4496</v>
      </c>
      <c r="P10" s="105">
        <f t="shared" si="3"/>
        <v>4496</v>
      </c>
      <c r="Q10" s="105">
        <f t="shared" si="3"/>
        <v>4496</v>
      </c>
      <c r="R10" s="105">
        <f t="shared" si="3"/>
        <v>4496</v>
      </c>
      <c r="S10" s="105">
        <f t="shared" si="3"/>
        <v>4496</v>
      </c>
      <c r="T10" s="105">
        <f t="shared" si="3"/>
        <v>4496</v>
      </c>
      <c r="U10" s="105">
        <f t="shared" si="3"/>
        <v>4496</v>
      </c>
      <c r="V10" s="105">
        <f t="shared" si="3"/>
        <v>4496</v>
      </c>
      <c r="W10" s="105">
        <f t="shared" si="3"/>
        <v>4496</v>
      </c>
    </row>
    <row r="11" spans="1:23" ht="11.25" x14ac:dyDescent="0.2">
      <c r="A11" s="99" t="s">
        <v>144</v>
      </c>
      <c r="B11" s="99" t="s">
        <v>82</v>
      </c>
      <c r="C11" s="100">
        <v>476</v>
      </c>
      <c r="D11" s="101">
        <v>4.8499999999999996</v>
      </c>
      <c r="E11" s="102">
        <v>5</v>
      </c>
      <c r="F11" s="103">
        <v>2380</v>
      </c>
      <c r="G11" s="99" t="s">
        <v>87</v>
      </c>
      <c r="H11" s="99" t="s">
        <v>80</v>
      </c>
      <c r="I11" s="104">
        <v>43053</v>
      </c>
      <c r="J11" s="99">
        <v>8</v>
      </c>
      <c r="K11" s="27">
        <v>14463.36</v>
      </c>
      <c r="L11" s="105">
        <v>18337</v>
      </c>
      <c r="M11" s="105">
        <v>17474</v>
      </c>
      <c r="N11" s="105">
        <f>(L11+M11)/2*1.15</f>
        <v>20591.324999999997</v>
      </c>
      <c r="O11" s="105">
        <f>N11*1.15</f>
        <v>23680.023749999993</v>
      </c>
      <c r="P11" s="105">
        <f t="shared" si="3"/>
        <v>23680.023749999993</v>
      </c>
      <c r="Q11" s="105">
        <f t="shared" si="3"/>
        <v>23680.023749999993</v>
      </c>
      <c r="R11" s="105">
        <f t="shared" si="3"/>
        <v>23680.023749999993</v>
      </c>
      <c r="S11" s="105">
        <f t="shared" si="3"/>
        <v>23680.023749999993</v>
      </c>
      <c r="T11" s="105">
        <f t="shared" si="3"/>
        <v>23680.023749999993</v>
      </c>
      <c r="U11" s="105">
        <f t="shared" si="3"/>
        <v>23680.023749999993</v>
      </c>
      <c r="V11" s="105">
        <f t="shared" si="3"/>
        <v>23680.023749999993</v>
      </c>
      <c r="W11" s="105">
        <f t="shared" si="3"/>
        <v>23680.023749999993</v>
      </c>
    </row>
    <row r="12" spans="1:23" ht="11.25" x14ac:dyDescent="0.2">
      <c r="A12" s="99" t="s">
        <v>143</v>
      </c>
      <c r="B12" s="99" t="s">
        <v>82</v>
      </c>
      <c r="C12" s="100">
        <v>416</v>
      </c>
      <c r="D12" s="101">
        <v>4.83</v>
      </c>
      <c r="E12" s="102">
        <v>5</v>
      </c>
      <c r="F12" s="103">
        <v>2080</v>
      </c>
      <c r="G12" s="99" t="s">
        <v>104</v>
      </c>
      <c r="H12" s="99" t="s">
        <v>80</v>
      </c>
      <c r="I12" s="104">
        <v>43053</v>
      </c>
      <c r="J12" s="99">
        <v>8</v>
      </c>
      <c r="K12" s="27">
        <v>15994.800000000001</v>
      </c>
      <c r="L12" s="105">
        <v>21394</v>
      </c>
      <c r="M12" s="105">
        <v>17029</v>
      </c>
      <c r="N12" s="105">
        <f>(L12+M12)/2*1.15</f>
        <v>22093.224999999999</v>
      </c>
      <c r="O12" s="105">
        <f t="shared" ref="O12:O14" si="4">N12*1.15</f>
        <v>25407.208749999998</v>
      </c>
      <c r="P12" s="105">
        <f t="shared" si="3"/>
        <v>25407.208749999998</v>
      </c>
      <c r="Q12" s="105">
        <f t="shared" si="3"/>
        <v>25407.208749999998</v>
      </c>
      <c r="R12" s="105">
        <f t="shared" si="3"/>
        <v>25407.208749999998</v>
      </c>
      <c r="S12" s="105">
        <f t="shared" si="3"/>
        <v>25407.208749999998</v>
      </c>
      <c r="T12" s="105">
        <f t="shared" si="3"/>
        <v>25407.208749999998</v>
      </c>
      <c r="U12" s="105">
        <f t="shared" si="3"/>
        <v>25407.208749999998</v>
      </c>
      <c r="V12" s="105">
        <f t="shared" si="3"/>
        <v>25407.208749999998</v>
      </c>
      <c r="W12" s="105">
        <f t="shared" si="3"/>
        <v>25407.208749999998</v>
      </c>
    </row>
    <row r="13" spans="1:23" ht="11.25" x14ac:dyDescent="0.2">
      <c r="A13" s="99" t="s">
        <v>142</v>
      </c>
      <c r="B13" s="99" t="s">
        <v>82</v>
      </c>
      <c r="C13" s="100">
        <v>416</v>
      </c>
      <c r="E13" s="102">
        <v>6</v>
      </c>
      <c r="F13" s="103">
        <v>2496</v>
      </c>
      <c r="G13" s="99" t="s">
        <v>104</v>
      </c>
      <c r="H13" s="99" t="s">
        <v>80</v>
      </c>
      <c r="I13" s="104">
        <v>43053</v>
      </c>
      <c r="J13" s="99">
        <v>8</v>
      </c>
      <c r="K13" s="27">
        <v>6268.32</v>
      </c>
      <c r="L13" s="105">
        <v>16129</v>
      </c>
      <c r="M13" s="105">
        <v>13733</v>
      </c>
      <c r="N13" s="105">
        <f>(L13+M13)/2*1.15</f>
        <v>17170.649999999998</v>
      </c>
      <c r="O13" s="105">
        <f t="shared" si="4"/>
        <v>19746.247499999998</v>
      </c>
      <c r="P13" s="105">
        <f t="shared" si="3"/>
        <v>19746.247499999998</v>
      </c>
      <c r="Q13" s="105">
        <f t="shared" si="3"/>
        <v>19746.247499999998</v>
      </c>
      <c r="R13" s="105">
        <f t="shared" si="3"/>
        <v>19746.247499999998</v>
      </c>
      <c r="S13" s="105">
        <f t="shared" si="3"/>
        <v>19746.247499999998</v>
      </c>
      <c r="T13" s="105">
        <f t="shared" si="3"/>
        <v>19746.247499999998</v>
      </c>
      <c r="U13" s="105">
        <f t="shared" si="3"/>
        <v>19746.247499999998</v>
      </c>
      <c r="V13" s="105">
        <f t="shared" si="3"/>
        <v>19746.247499999998</v>
      </c>
      <c r="W13" s="105">
        <f t="shared" si="3"/>
        <v>19746.247499999998</v>
      </c>
    </row>
    <row r="14" spans="1:23" ht="11.25" x14ac:dyDescent="0.2">
      <c r="A14" s="99" t="s">
        <v>138</v>
      </c>
      <c r="B14" s="99" t="s">
        <v>82</v>
      </c>
      <c r="C14" s="100">
        <v>307</v>
      </c>
      <c r="D14" s="101">
        <v>4.3899999999999997</v>
      </c>
      <c r="E14" s="102">
        <v>4</v>
      </c>
      <c r="F14" s="103">
        <v>1228</v>
      </c>
      <c r="G14" s="99" t="s">
        <v>137</v>
      </c>
      <c r="H14" s="99" t="s">
        <v>80</v>
      </c>
      <c r="I14" s="104">
        <v>43053</v>
      </c>
      <c r="J14" s="99">
        <v>8</v>
      </c>
      <c r="K14" s="27">
        <v>3507.84</v>
      </c>
      <c r="L14" s="105">
        <v>16262</v>
      </c>
      <c r="M14" s="105">
        <v>9379</v>
      </c>
      <c r="N14" s="105">
        <f>(L14+M14)/2*1.15</f>
        <v>14743.574999999999</v>
      </c>
      <c r="O14" s="105">
        <f t="shared" si="4"/>
        <v>16955.111249999998</v>
      </c>
      <c r="P14" s="105">
        <f t="shared" si="3"/>
        <v>16955.111249999998</v>
      </c>
      <c r="Q14" s="105">
        <f t="shared" si="3"/>
        <v>16955.111249999998</v>
      </c>
      <c r="R14" s="105">
        <f t="shared" si="3"/>
        <v>16955.111249999998</v>
      </c>
      <c r="S14" s="105">
        <f t="shared" si="3"/>
        <v>16955.111249999998</v>
      </c>
      <c r="T14" s="105">
        <f t="shared" si="3"/>
        <v>16955.111249999998</v>
      </c>
      <c r="U14" s="105">
        <f t="shared" si="3"/>
        <v>16955.111249999998</v>
      </c>
      <c r="V14" s="105">
        <f t="shared" si="3"/>
        <v>16955.111249999998</v>
      </c>
      <c r="W14" s="105">
        <f t="shared" si="3"/>
        <v>16955.111249999998</v>
      </c>
    </row>
    <row r="15" spans="1:23" ht="11.25" x14ac:dyDescent="0.2">
      <c r="A15" s="99" t="s">
        <v>96</v>
      </c>
      <c r="B15" s="99" t="s">
        <v>82</v>
      </c>
      <c r="C15" s="100">
        <v>476</v>
      </c>
      <c r="D15" s="101">
        <v>2.13</v>
      </c>
      <c r="E15" s="102">
        <v>2.11</v>
      </c>
      <c r="F15" s="103">
        <v>1004.36</v>
      </c>
      <c r="G15" s="99" t="s">
        <v>87</v>
      </c>
      <c r="H15" s="99" t="s">
        <v>80</v>
      </c>
      <c r="I15" s="104">
        <v>42313</v>
      </c>
      <c r="J15" s="99">
        <v>10</v>
      </c>
      <c r="K15" s="106">
        <v>10240.56</v>
      </c>
      <c r="L15" s="105">
        <v>10474</v>
      </c>
      <c r="M15" s="105">
        <v>6605</v>
      </c>
      <c r="N15" s="105">
        <f>(L15+M15)/2</f>
        <v>8539.5</v>
      </c>
      <c r="O15" s="105">
        <f>N15</f>
        <v>8539.5</v>
      </c>
      <c r="P15" s="105">
        <f t="shared" si="3"/>
        <v>8539.5</v>
      </c>
      <c r="Q15" s="105">
        <f t="shared" si="3"/>
        <v>8539.5</v>
      </c>
      <c r="R15" s="105">
        <f t="shared" si="3"/>
        <v>8539.5</v>
      </c>
      <c r="S15" s="105">
        <f t="shared" si="3"/>
        <v>8539.5</v>
      </c>
      <c r="T15" s="105">
        <f t="shared" si="3"/>
        <v>8539.5</v>
      </c>
      <c r="U15" s="105">
        <f t="shared" si="3"/>
        <v>8539.5</v>
      </c>
      <c r="V15" s="105">
        <f t="shared" si="3"/>
        <v>8539.5</v>
      </c>
      <c r="W15" s="105">
        <f t="shared" si="3"/>
        <v>8539.5</v>
      </c>
    </row>
    <row r="16" spans="1:23" ht="11.25" x14ac:dyDescent="0.25">
      <c r="A16" s="99" t="s">
        <v>95</v>
      </c>
      <c r="B16" s="99" t="s">
        <v>82</v>
      </c>
      <c r="C16" s="100">
        <v>476</v>
      </c>
      <c r="E16" s="102">
        <v>1.7</v>
      </c>
      <c r="F16" s="103">
        <v>809.2</v>
      </c>
      <c r="G16" s="99" t="s">
        <v>87</v>
      </c>
      <c r="H16" s="99" t="s">
        <v>80</v>
      </c>
      <c r="I16" s="104">
        <v>42313</v>
      </c>
      <c r="J16" s="99">
        <v>10</v>
      </c>
      <c r="K16" s="105">
        <v>6130.08</v>
      </c>
      <c r="L16" s="105">
        <v>5710</v>
      </c>
      <c r="M16" s="105">
        <v>5301</v>
      </c>
      <c r="N16" s="105">
        <f>(L16+M16)/2</f>
        <v>5505.5</v>
      </c>
      <c r="O16" s="105">
        <f t="shared" ref="O16:W19" si="5">N16</f>
        <v>5505.5</v>
      </c>
      <c r="P16" s="105">
        <f t="shared" si="5"/>
        <v>5505.5</v>
      </c>
      <c r="Q16" s="105">
        <f t="shared" si="5"/>
        <v>5505.5</v>
      </c>
      <c r="R16" s="105">
        <f t="shared" si="5"/>
        <v>5505.5</v>
      </c>
      <c r="S16" s="105">
        <f t="shared" si="5"/>
        <v>5505.5</v>
      </c>
      <c r="T16" s="105">
        <f t="shared" si="5"/>
        <v>5505.5</v>
      </c>
      <c r="U16" s="105">
        <f t="shared" si="5"/>
        <v>5505.5</v>
      </c>
      <c r="V16" s="105">
        <f t="shared" si="5"/>
        <v>5505.5</v>
      </c>
      <c r="W16" s="105">
        <f t="shared" si="5"/>
        <v>5505.5</v>
      </c>
    </row>
    <row r="17" spans="1:23" ht="11.25" x14ac:dyDescent="0.25">
      <c r="A17" s="99" t="s">
        <v>94</v>
      </c>
      <c r="B17" s="99" t="s">
        <v>82</v>
      </c>
      <c r="C17" s="100">
        <v>476</v>
      </c>
      <c r="E17" s="102">
        <v>1</v>
      </c>
      <c r="F17" s="103">
        <v>476</v>
      </c>
      <c r="G17" s="99" t="s">
        <v>87</v>
      </c>
      <c r="H17" s="99" t="s">
        <v>80</v>
      </c>
      <c r="I17" s="104">
        <v>42313</v>
      </c>
      <c r="J17" s="99">
        <v>10</v>
      </c>
      <c r="K17" s="105">
        <v>2963.52</v>
      </c>
      <c r="L17" s="105">
        <v>5724</v>
      </c>
      <c r="M17" s="105">
        <v>3588</v>
      </c>
      <c r="N17" s="105">
        <f>(L17+M17)/2</f>
        <v>4656</v>
      </c>
      <c r="O17" s="105">
        <f t="shared" si="5"/>
        <v>4656</v>
      </c>
      <c r="P17" s="105">
        <f t="shared" si="5"/>
        <v>4656</v>
      </c>
      <c r="Q17" s="105">
        <f t="shared" si="5"/>
        <v>4656</v>
      </c>
      <c r="R17" s="105">
        <f t="shared" si="5"/>
        <v>4656</v>
      </c>
      <c r="S17" s="105">
        <f t="shared" si="5"/>
        <v>4656</v>
      </c>
      <c r="T17" s="105">
        <f t="shared" si="5"/>
        <v>4656</v>
      </c>
      <c r="U17" s="105">
        <f t="shared" si="5"/>
        <v>4656</v>
      </c>
      <c r="V17" s="105">
        <f t="shared" si="5"/>
        <v>4656</v>
      </c>
      <c r="W17" s="105">
        <f t="shared" si="5"/>
        <v>4656</v>
      </c>
    </row>
    <row r="18" spans="1:23" ht="11.25" x14ac:dyDescent="0.25">
      <c r="A18" s="99" t="s">
        <v>93</v>
      </c>
      <c r="B18" s="99" t="s">
        <v>82</v>
      </c>
      <c r="C18" s="100">
        <v>476</v>
      </c>
      <c r="E18" s="102">
        <v>0.83</v>
      </c>
      <c r="F18" s="103">
        <v>395.08</v>
      </c>
      <c r="G18" s="99" t="s">
        <v>87</v>
      </c>
      <c r="H18" s="99" t="s">
        <v>80</v>
      </c>
      <c r="I18" s="104">
        <v>42313</v>
      </c>
      <c r="J18" s="99">
        <v>10</v>
      </c>
      <c r="K18" s="105">
        <v>2423.52</v>
      </c>
      <c r="L18" s="105">
        <v>3062</v>
      </c>
      <c r="M18" s="105">
        <v>2175</v>
      </c>
      <c r="N18" s="105">
        <f>(L18+M18)/2</f>
        <v>2618.5</v>
      </c>
      <c r="O18" s="105">
        <f t="shared" si="5"/>
        <v>2618.5</v>
      </c>
      <c r="P18" s="105">
        <f t="shared" si="5"/>
        <v>2618.5</v>
      </c>
      <c r="Q18" s="105">
        <f t="shared" si="5"/>
        <v>2618.5</v>
      </c>
      <c r="R18" s="105">
        <f t="shared" si="5"/>
        <v>2618.5</v>
      </c>
      <c r="S18" s="105">
        <f t="shared" si="5"/>
        <v>2618.5</v>
      </c>
      <c r="T18" s="105">
        <f t="shared" si="5"/>
        <v>2618.5</v>
      </c>
      <c r="U18" s="105">
        <f t="shared" si="5"/>
        <v>2618.5</v>
      </c>
      <c r="V18" s="105">
        <f t="shared" si="5"/>
        <v>2618.5</v>
      </c>
      <c r="W18" s="105">
        <f t="shared" si="5"/>
        <v>2618.5</v>
      </c>
    </row>
    <row r="19" spans="1:23" ht="11.25" x14ac:dyDescent="0.25">
      <c r="A19" s="99" t="s">
        <v>91</v>
      </c>
      <c r="B19" s="99" t="s">
        <v>82</v>
      </c>
      <c r="C19" s="100">
        <v>476</v>
      </c>
      <c r="E19" s="102">
        <v>0.3</v>
      </c>
      <c r="F19" s="103">
        <v>142.80000000000001</v>
      </c>
      <c r="G19" s="99" t="s">
        <v>87</v>
      </c>
      <c r="H19" s="99" t="s">
        <v>80</v>
      </c>
      <c r="I19" s="104">
        <v>42313</v>
      </c>
      <c r="J19" s="99">
        <v>10</v>
      </c>
      <c r="K19" s="107">
        <v>5002.5600000000004</v>
      </c>
      <c r="L19" s="105">
        <v>6155</v>
      </c>
      <c r="M19" s="105">
        <v>5171</v>
      </c>
      <c r="N19" s="105">
        <f>(L19+M19)/2</f>
        <v>5663</v>
      </c>
      <c r="O19" s="105">
        <f t="shared" si="5"/>
        <v>5663</v>
      </c>
      <c r="P19" s="105">
        <f t="shared" si="5"/>
        <v>5663</v>
      </c>
      <c r="Q19" s="105">
        <f t="shared" si="5"/>
        <v>5663</v>
      </c>
      <c r="R19" s="105">
        <f t="shared" si="5"/>
        <v>5663</v>
      </c>
      <c r="S19" s="105">
        <f t="shared" si="5"/>
        <v>5663</v>
      </c>
      <c r="T19" s="105">
        <f t="shared" si="5"/>
        <v>5663</v>
      </c>
      <c r="U19" s="105">
        <f t="shared" si="5"/>
        <v>5663</v>
      </c>
      <c r="V19" s="105">
        <f t="shared" si="5"/>
        <v>5663</v>
      </c>
      <c r="W19" s="105">
        <f t="shared" si="5"/>
        <v>5663</v>
      </c>
    </row>
    <row r="20" spans="1:23" ht="11.25" x14ac:dyDescent="0.25">
      <c r="A20" s="99" t="s">
        <v>90</v>
      </c>
      <c r="B20" s="99" t="s">
        <v>82</v>
      </c>
      <c r="C20" s="100">
        <v>476</v>
      </c>
      <c r="D20" s="101">
        <v>1.2</v>
      </c>
      <c r="E20" s="102">
        <v>1.1100000000000001</v>
      </c>
      <c r="F20" s="103">
        <v>528.36</v>
      </c>
      <c r="G20" s="99" t="s">
        <v>87</v>
      </c>
      <c r="H20" s="99" t="s">
        <v>80</v>
      </c>
      <c r="I20" s="104">
        <v>42313</v>
      </c>
      <c r="J20" s="99">
        <v>10</v>
      </c>
      <c r="K20" s="108"/>
    </row>
    <row r="21" spans="1:23" ht="11.25" x14ac:dyDescent="0.25">
      <c r="A21" s="99" t="s">
        <v>86</v>
      </c>
      <c r="B21" s="99" t="s">
        <v>82</v>
      </c>
      <c r="C21" s="100">
        <v>312</v>
      </c>
      <c r="E21" s="102">
        <v>1.45</v>
      </c>
      <c r="F21" s="103">
        <v>452.4</v>
      </c>
      <c r="G21" s="99" t="s">
        <v>81</v>
      </c>
      <c r="H21" s="99" t="s">
        <v>80</v>
      </c>
      <c r="I21" s="104">
        <v>42313</v>
      </c>
      <c r="J21" s="99">
        <v>10</v>
      </c>
      <c r="K21" s="109">
        <v>13497.84</v>
      </c>
      <c r="L21" s="105">
        <v>17699</v>
      </c>
      <c r="M21" s="105">
        <v>14986</v>
      </c>
      <c r="N21" s="105">
        <f>(L21+M21)/2</f>
        <v>16342.5</v>
      </c>
      <c r="O21" s="105">
        <f t="shared" ref="O21:W21" si="6">N21</f>
        <v>16342.5</v>
      </c>
      <c r="P21" s="105">
        <f t="shared" si="6"/>
        <v>16342.5</v>
      </c>
      <c r="Q21" s="105">
        <f t="shared" si="6"/>
        <v>16342.5</v>
      </c>
      <c r="R21" s="105">
        <f t="shared" si="6"/>
        <v>16342.5</v>
      </c>
      <c r="S21" s="105">
        <f t="shared" si="6"/>
        <v>16342.5</v>
      </c>
      <c r="T21" s="105">
        <f t="shared" si="6"/>
        <v>16342.5</v>
      </c>
      <c r="U21" s="105">
        <f t="shared" si="6"/>
        <v>16342.5</v>
      </c>
      <c r="V21" s="105">
        <f t="shared" si="6"/>
        <v>16342.5</v>
      </c>
      <c r="W21" s="105">
        <f t="shared" si="6"/>
        <v>16342.5</v>
      </c>
    </row>
    <row r="22" spans="1:23" ht="11.25" x14ac:dyDescent="0.25">
      <c r="A22" s="99" t="s">
        <v>85</v>
      </c>
      <c r="B22" s="99" t="s">
        <v>82</v>
      </c>
      <c r="C22" s="100">
        <v>312</v>
      </c>
      <c r="E22" s="102">
        <v>0.52</v>
      </c>
      <c r="F22" s="103">
        <v>162.24</v>
      </c>
      <c r="G22" s="99" t="s">
        <v>81</v>
      </c>
      <c r="H22" s="99" t="s">
        <v>80</v>
      </c>
      <c r="I22" s="104">
        <v>42313</v>
      </c>
      <c r="J22" s="99">
        <v>10</v>
      </c>
      <c r="K22" s="110"/>
    </row>
    <row r="23" spans="1:23" ht="11.25" x14ac:dyDescent="0.25">
      <c r="A23" s="99" t="s">
        <v>84</v>
      </c>
      <c r="B23" s="99" t="s">
        <v>82</v>
      </c>
      <c r="C23" s="100">
        <v>312</v>
      </c>
      <c r="E23" s="102">
        <v>1.06</v>
      </c>
      <c r="F23" s="103">
        <v>330.72</v>
      </c>
      <c r="G23" s="99" t="s">
        <v>81</v>
      </c>
      <c r="H23" s="99" t="s">
        <v>80</v>
      </c>
      <c r="I23" s="104">
        <v>42313</v>
      </c>
      <c r="J23" s="99">
        <v>10</v>
      </c>
      <c r="K23" s="110"/>
    </row>
    <row r="24" spans="1:23" ht="11.25" x14ac:dyDescent="0.25">
      <c r="A24" s="99" t="s">
        <v>83</v>
      </c>
      <c r="B24" s="99" t="s">
        <v>82</v>
      </c>
      <c r="C24" s="100">
        <v>312</v>
      </c>
      <c r="E24" s="102">
        <v>1.26</v>
      </c>
      <c r="F24" s="103">
        <v>393.12</v>
      </c>
      <c r="G24" s="99" t="s">
        <v>81</v>
      </c>
      <c r="H24" s="99" t="s">
        <v>80</v>
      </c>
      <c r="I24" s="104">
        <v>42313</v>
      </c>
      <c r="J24" s="99">
        <v>10</v>
      </c>
      <c r="K24" s="111"/>
    </row>
    <row r="25" spans="1:23" ht="11.25" x14ac:dyDescent="0.25">
      <c r="A25" s="99" t="s">
        <v>153</v>
      </c>
      <c r="B25" s="99" t="s">
        <v>82</v>
      </c>
      <c r="C25" s="100">
        <v>416</v>
      </c>
      <c r="E25" s="102">
        <v>3.76</v>
      </c>
      <c r="F25" s="103">
        <v>1564.16</v>
      </c>
      <c r="G25" s="99" t="s">
        <v>147</v>
      </c>
      <c r="H25" s="99" t="s">
        <v>80</v>
      </c>
      <c r="I25" s="104">
        <v>44568</v>
      </c>
      <c r="J25" s="99">
        <v>10</v>
      </c>
      <c r="K25" s="112">
        <v>42284.160000000003</v>
      </c>
      <c r="L25" s="105">
        <v>87862</v>
      </c>
      <c r="M25" s="105">
        <v>71924</v>
      </c>
      <c r="N25" s="105">
        <f>(L25+M25)/2</f>
        <v>79893</v>
      </c>
      <c r="O25" s="105">
        <f>N25</f>
        <v>79893</v>
      </c>
      <c r="P25" s="105">
        <f t="shared" ref="P25:W25" si="7">O25</f>
        <v>79893</v>
      </c>
      <c r="Q25" s="105">
        <f t="shared" si="7"/>
        <v>79893</v>
      </c>
      <c r="R25" s="105">
        <f t="shared" si="7"/>
        <v>79893</v>
      </c>
      <c r="S25" s="105">
        <f t="shared" si="7"/>
        <v>79893</v>
      </c>
      <c r="T25" s="105">
        <f t="shared" si="7"/>
        <v>79893</v>
      </c>
      <c r="U25" s="105">
        <f t="shared" si="7"/>
        <v>79893</v>
      </c>
      <c r="V25" s="105">
        <f t="shared" si="7"/>
        <v>79893</v>
      </c>
      <c r="W25" s="105">
        <f t="shared" si="7"/>
        <v>79893</v>
      </c>
    </row>
    <row r="26" spans="1:23" ht="11.25" x14ac:dyDescent="0.25">
      <c r="A26" s="99" t="s">
        <v>152</v>
      </c>
      <c r="B26" s="99" t="s">
        <v>82</v>
      </c>
      <c r="C26" s="100">
        <v>416</v>
      </c>
      <c r="E26" s="102">
        <v>3.73</v>
      </c>
      <c r="F26" s="103">
        <v>1551.68</v>
      </c>
      <c r="G26" s="99" t="s">
        <v>147</v>
      </c>
      <c r="H26" s="99" t="s">
        <v>80</v>
      </c>
      <c r="I26" s="104">
        <v>44568</v>
      </c>
      <c r="J26" s="99">
        <v>10</v>
      </c>
      <c r="K26" s="113"/>
    </row>
    <row r="27" spans="1:23" ht="11.25" x14ac:dyDescent="0.25">
      <c r="A27" s="99" t="s">
        <v>151</v>
      </c>
      <c r="B27" s="99" t="s">
        <v>82</v>
      </c>
      <c r="C27" s="100">
        <v>416</v>
      </c>
      <c r="E27" s="102">
        <v>3.29</v>
      </c>
      <c r="F27" s="103">
        <v>1368.64</v>
      </c>
      <c r="G27" s="99" t="s">
        <v>147</v>
      </c>
      <c r="H27" s="99" t="s">
        <v>80</v>
      </c>
      <c r="I27" s="104">
        <v>44568</v>
      </c>
      <c r="J27" s="99">
        <v>10</v>
      </c>
      <c r="K27" s="113"/>
    </row>
    <row r="28" spans="1:23" ht="11.25" x14ac:dyDescent="0.25">
      <c r="A28" s="99" t="s">
        <v>150</v>
      </c>
      <c r="B28" s="99" t="s">
        <v>82</v>
      </c>
      <c r="C28" s="100">
        <v>416</v>
      </c>
      <c r="E28" s="102">
        <v>3.34</v>
      </c>
      <c r="F28" s="103">
        <v>1389.44</v>
      </c>
      <c r="G28" s="99" t="s">
        <v>147</v>
      </c>
      <c r="H28" s="99" t="s">
        <v>80</v>
      </c>
      <c r="I28" s="104">
        <v>44568</v>
      </c>
      <c r="J28" s="99">
        <v>10</v>
      </c>
      <c r="K28" s="113"/>
    </row>
    <row r="29" spans="1:23" ht="11.25" x14ac:dyDescent="0.25">
      <c r="A29" s="99" t="s">
        <v>149</v>
      </c>
      <c r="B29" s="99" t="s">
        <v>82</v>
      </c>
      <c r="C29" s="100">
        <v>416</v>
      </c>
      <c r="E29" s="102">
        <v>2.98</v>
      </c>
      <c r="F29" s="103">
        <v>1239.68</v>
      </c>
      <c r="G29" s="99" t="s">
        <v>147</v>
      </c>
      <c r="H29" s="99" t="s">
        <v>80</v>
      </c>
      <c r="I29" s="104">
        <v>44568</v>
      </c>
      <c r="J29" s="99">
        <v>10</v>
      </c>
      <c r="K29" s="113"/>
    </row>
    <row r="30" spans="1:23" ht="11.25" x14ac:dyDescent="0.25">
      <c r="A30" s="99" t="s">
        <v>148</v>
      </c>
      <c r="B30" s="99" t="s">
        <v>82</v>
      </c>
      <c r="C30" s="100">
        <v>416</v>
      </c>
      <c r="E30" s="102">
        <v>3.65</v>
      </c>
      <c r="F30" s="103">
        <v>1518.4</v>
      </c>
      <c r="G30" s="99" t="s">
        <v>147</v>
      </c>
      <c r="H30" s="99" t="s">
        <v>80</v>
      </c>
      <c r="I30" s="104">
        <v>44568</v>
      </c>
      <c r="J30" s="99">
        <v>10</v>
      </c>
      <c r="K30" s="114"/>
    </row>
    <row r="31" spans="1:23" ht="11.25" x14ac:dyDescent="0.25">
      <c r="A31" s="99" t="s">
        <v>120</v>
      </c>
      <c r="B31" s="99" t="s">
        <v>82</v>
      </c>
      <c r="C31" s="100">
        <v>312</v>
      </c>
      <c r="E31" s="102">
        <v>1.26</v>
      </c>
      <c r="F31" s="103">
        <v>393.12</v>
      </c>
      <c r="G31" s="99" t="s">
        <v>81</v>
      </c>
      <c r="H31" s="99" t="s">
        <v>80</v>
      </c>
      <c r="I31" s="104">
        <v>42439</v>
      </c>
      <c r="J31" s="99">
        <v>9</v>
      </c>
      <c r="K31" s="115">
        <v>5929.2</v>
      </c>
      <c r="L31" s="105">
        <v>19090</v>
      </c>
      <c r="M31" s="105">
        <v>7871</v>
      </c>
      <c r="N31" s="105">
        <f>(L31+M31)/2</f>
        <v>13480.5</v>
      </c>
      <c r="O31" s="105">
        <f>N31</f>
        <v>13480.5</v>
      </c>
      <c r="P31" s="105">
        <f t="shared" ref="P31:W31" si="8">O31</f>
        <v>13480.5</v>
      </c>
      <c r="Q31" s="105">
        <f t="shared" si="8"/>
        <v>13480.5</v>
      </c>
      <c r="R31" s="105">
        <f t="shared" si="8"/>
        <v>13480.5</v>
      </c>
      <c r="S31" s="105">
        <f t="shared" si="8"/>
        <v>13480.5</v>
      </c>
      <c r="T31" s="105">
        <f t="shared" si="8"/>
        <v>13480.5</v>
      </c>
      <c r="U31" s="105">
        <f t="shared" si="8"/>
        <v>13480.5</v>
      </c>
      <c r="V31" s="105">
        <f t="shared" si="8"/>
        <v>13480.5</v>
      </c>
      <c r="W31" s="105">
        <f t="shared" si="8"/>
        <v>13480.5</v>
      </c>
    </row>
    <row r="32" spans="1:23" ht="11.25" x14ac:dyDescent="0.25">
      <c r="A32" s="99" t="s">
        <v>103</v>
      </c>
      <c r="B32" s="99" t="s">
        <v>82</v>
      </c>
      <c r="C32" s="100">
        <v>312</v>
      </c>
      <c r="E32" s="102">
        <v>2</v>
      </c>
      <c r="F32" s="103">
        <v>624</v>
      </c>
      <c r="G32" s="99" t="s">
        <v>81</v>
      </c>
      <c r="H32" s="99" t="s">
        <v>80</v>
      </c>
      <c r="I32" s="104">
        <v>42439</v>
      </c>
      <c r="J32" s="99">
        <v>9</v>
      </c>
      <c r="K32" s="116"/>
    </row>
    <row r="33" spans="1:23" ht="11.25" x14ac:dyDescent="0.25">
      <c r="A33" s="99" t="s">
        <v>101</v>
      </c>
      <c r="B33" s="99" t="s">
        <v>82</v>
      </c>
      <c r="C33" s="100">
        <v>312</v>
      </c>
      <c r="E33" s="102">
        <v>1.85</v>
      </c>
      <c r="F33" s="103">
        <v>577.20000000000005</v>
      </c>
      <c r="G33" s="99" t="s">
        <v>81</v>
      </c>
      <c r="H33" s="99" t="s">
        <v>80</v>
      </c>
      <c r="I33" s="104">
        <v>42439</v>
      </c>
      <c r="J33" s="99">
        <v>9</v>
      </c>
      <c r="K33" s="117"/>
    </row>
    <row r="34" spans="1:23" ht="11.25" x14ac:dyDescent="0.25">
      <c r="A34" s="99" t="s">
        <v>99</v>
      </c>
      <c r="B34" s="99" t="s">
        <v>82</v>
      </c>
      <c r="C34" s="100">
        <v>312</v>
      </c>
      <c r="E34" s="102">
        <v>1.82</v>
      </c>
      <c r="F34" s="103">
        <v>567.84</v>
      </c>
      <c r="G34" s="99" t="s">
        <v>81</v>
      </c>
      <c r="H34" s="99" t="s">
        <v>80</v>
      </c>
      <c r="I34" s="104">
        <v>42439</v>
      </c>
      <c r="J34" s="99">
        <v>9</v>
      </c>
      <c r="K34" s="109">
        <v>6847.2</v>
      </c>
      <c r="L34" s="105">
        <v>15771</v>
      </c>
      <c r="M34" s="105">
        <v>10809</v>
      </c>
      <c r="N34" s="105">
        <f>(L34+M34)/2</f>
        <v>13290</v>
      </c>
      <c r="O34" s="105">
        <f>N34</f>
        <v>13290</v>
      </c>
      <c r="P34" s="105">
        <f t="shared" ref="P34:W34" si="9">O34</f>
        <v>13290</v>
      </c>
      <c r="Q34" s="105">
        <f t="shared" si="9"/>
        <v>13290</v>
      </c>
      <c r="R34" s="105">
        <f t="shared" si="9"/>
        <v>13290</v>
      </c>
      <c r="S34" s="105">
        <f t="shared" si="9"/>
        <v>13290</v>
      </c>
      <c r="T34" s="105">
        <f t="shared" si="9"/>
        <v>13290</v>
      </c>
      <c r="U34" s="105">
        <f t="shared" si="9"/>
        <v>13290</v>
      </c>
      <c r="V34" s="105">
        <f t="shared" si="9"/>
        <v>13290</v>
      </c>
      <c r="W34" s="105">
        <f t="shared" si="9"/>
        <v>13290</v>
      </c>
    </row>
    <row r="35" spans="1:23" ht="11.25" x14ac:dyDescent="0.25">
      <c r="A35" s="99" t="s">
        <v>97</v>
      </c>
      <c r="B35" s="99" t="s">
        <v>82</v>
      </c>
      <c r="C35" s="100">
        <v>312</v>
      </c>
      <c r="E35" s="102">
        <v>1.65</v>
      </c>
      <c r="F35" s="103">
        <v>514.79999999999995</v>
      </c>
      <c r="G35" s="99" t="s">
        <v>81</v>
      </c>
      <c r="H35" s="99" t="s">
        <v>80</v>
      </c>
      <c r="I35" s="104">
        <v>42439</v>
      </c>
      <c r="J35" s="99">
        <v>9</v>
      </c>
      <c r="K35" s="110"/>
    </row>
    <row r="36" spans="1:23" ht="11.25" x14ac:dyDescent="0.25">
      <c r="A36" s="99" t="s">
        <v>118</v>
      </c>
      <c r="B36" s="99" t="s">
        <v>82</v>
      </c>
      <c r="C36" s="100">
        <v>312</v>
      </c>
      <c r="E36" s="102">
        <v>0.46</v>
      </c>
      <c r="F36" s="103">
        <v>143.52000000000001</v>
      </c>
      <c r="G36" s="99" t="s">
        <v>81</v>
      </c>
      <c r="H36" s="99" t="s">
        <v>80</v>
      </c>
      <c r="I36" s="104">
        <v>42439</v>
      </c>
      <c r="J36" s="99">
        <v>9</v>
      </c>
      <c r="K36" s="111"/>
    </row>
    <row r="37" spans="1:23" ht="11.25" x14ac:dyDescent="0.25">
      <c r="A37" s="99" t="s">
        <v>116</v>
      </c>
      <c r="B37" s="99" t="s">
        <v>82</v>
      </c>
      <c r="C37" s="100">
        <v>312</v>
      </c>
      <c r="E37" s="102">
        <v>1.95</v>
      </c>
      <c r="F37" s="103">
        <v>608.4</v>
      </c>
      <c r="G37" s="99" t="s">
        <v>81</v>
      </c>
      <c r="H37" s="99" t="s">
        <v>80</v>
      </c>
      <c r="I37" s="104">
        <v>42439</v>
      </c>
      <c r="J37" s="99">
        <v>9</v>
      </c>
      <c r="K37" s="115">
        <v>38705.040000000001</v>
      </c>
      <c r="L37" s="105">
        <v>48975</v>
      </c>
      <c r="M37" s="105">
        <v>30758</v>
      </c>
      <c r="N37" s="105">
        <f>(L37+M37)/2</f>
        <v>39866.5</v>
      </c>
      <c r="O37" s="105">
        <f>N37</f>
        <v>39866.5</v>
      </c>
      <c r="P37" s="105">
        <f t="shared" ref="P37:W37" si="10">O37</f>
        <v>39866.5</v>
      </c>
      <c r="Q37" s="105">
        <f t="shared" si="10"/>
        <v>39866.5</v>
      </c>
      <c r="R37" s="105">
        <f t="shared" si="10"/>
        <v>39866.5</v>
      </c>
      <c r="S37" s="105">
        <f t="shared" si="10"/>
        <v>39866.5</v>
      </c>
      <c r="T37" s="105">
        <f t="shared" si="10"/>
        <v>39866.5</v>
      </c>
      <c r="U37" s="105">
        <f t="shared" si="10"/>
        <v>39866.5</v>
      </c>
      <c r="V37" s="105">
        <f t="shared" si="10"/>
        <v>39866.5</v>
      </c>
      <c r="W37" s="105">
        <f t="shared" si="10"/>
        <v>39866.5</v>
      </c>
    </row>
    <row r="38" spans="1:23" ht="11.25" x14ac:dyDescent="0.25">
      <c r="A38" s="99" t="s">
        <v>115</v>
      </c>
      <c r="B38" s="99" t="s">
        <v>82</v>
      </c>
      <c r="C38" s="100">
        <v>312</v>
      </c>
      <c r="E38" s="102">
        <v>2.27</v>
      </c>
      <c r="F38" s="103">
        <v>708.24</v>
      </c>
      <c r="G38" s="99" t="s">
        <v>81</v>
      </c>
      <c r="H38" s="99" t="s">
        <v>80</v>
      </c>
      <c r="I38" s="104">
        <v>42439</v>
      </c>
      <c r="J38" s="99">
        <v>9</v>
      </c>
      <c r="K38" s="116"/>
    </row>
    <row r="39" spans="1:23" ht="11.25" x14ac:dyDescent="0.25">
      <c r="A39" s="99" t="s">
        <v>114</v>
      </c>
      <c r="B39" s="99" t="s">
        <v>82</v>
      </c>
      <c r="C39" s="100">
        <v>416</v>
      </c>
      <c r="E39" s="102">
        <v>2.0499999999999998</v>
      </c>
      <c r="F39" s="103">
        <v>852.8</v>
      </c>
      <c r="G39" s="99" t="s">
        <v>104</v>
      </c>
      <c r="H39" s="99" t="s">
        <v>80</v>
      </c>
      <c r="I39" s="104">
        <v>42439</v>
      </c>
      <c r="J39" s="99">
        <v>9</v>
      </c>
      <c r="K39" s="116"/>
    </row>
    <row r="40" spans="1:23" ht="11.25" x14ac:dyDescent="0.25">
      <c r="A40" s="99" t="s">
        <v>113</v>
      </c>
      <c r="B40" s="99" t="s">
        <v>82</v>
      </c>
      <c r="C40" s="100">
        <v>312</v>
      </c>
      <c r="E40" s="102">
        <v>2.0699999999999998</v>
      </c>
      <c r="F40" s="103">
        <v>645.84</v>
      </c>
      <c r="G40" s="99" t="s">
        <v>81</v>
      </c>
      <c r="H40" s="99" t="s">
        <v>80</v>
      </c>
      <c r="I40" s="104">
        <v>42439</v>
      </c>
      <c r="J40" s="99">
        <v>9</v>
      </c>
      <c r="K40" s="116"/>
    </row>
    <row r="41" spans="1:23" ht="11.25" x14ac:dyDescent="0.25">
      <c r="A41" s="99" t="s">
        <v>112</v>
      </c>
      <c r="B41" s="99" t="s">
        <v>82</v>
      </c>
      <c r="C41" s="100">
        <v>312</v>
      </c>
      <c r="E41" s="102">
        <v>2.12</v>
      </c>
      <c r="F41" s="103">
        <v>661.44</v>
      </c>
      <c r="G41" s="99" t="s">
        <v>81</v>
      </c>
      <c r="H41" s="99" t="s">
        <v>80</v>
      </c>
      <c r="I41" s="104">
        <v>42439</v>
      </c>
      <c r="J41" s="99">
        <v>9</v>
      </c>
      <c r="K41" s="117"/>
    </row>
    <row r="42" spans="1:23" ht="11.25" x14ac:dyDescent="0.25">
      <c r="A42" s="99" t="s">
        <v>111</v>
      </c>
      <c r="B42" s="99" t="s">
        <v>82</v>
      </c>
      <c r="C42" s="100">
        <v>416</v>
      </c>
      <c r="E42" s="102">
        <v>1.77</v>
      </c>
      <c r="F42" s="103">
        <v>736.32</v>
      </c>
      <c r="G42" s="99" t="s">
        <v>104</v>
      </c>
      <c r="H42" s="99" t="s">
        <v>80</v>
      </c>
      <c r="I42" s="104">
        <v>42439</v>
      </c>
      <c r="J42" s="99">
        <v>9</v>
      </c>
      <c r="K42" s="109">
        <v>15132.960000000001</v>
      </c>
      <c r="L42" s="105">
        <v>14500</v>
      </c>
      <c r="M42" s="105">
        <v>17245</v>
      </c>
      <c r="N42" s="105">
        <f>(L42+M42)/2</f>
        <v>15872.5</v>
      </c>
      <c r="O42" s="105">
        <f>N42</f>
        <v>15872.5</v>
      </c>
      <c r="P42" s="105">
        <f t="shared" ref="P42:W42" si="11">O42</f>
        <v>15872.5</v>
      </c>
      <c r="Q42" s="105">
        <f t="shared" si="11"/>
        <v>15872.5</v>
      </c>
      <c r="R42" s="105">
        <f t="shared" si="11"/>
        <v>15872.5</v>
      </c>
      <c r="S42" s="105">
        <f t="shared" si="11"/>
        <v>15872.5</v>
      </c>
      <c r="T42" s="105">
        <f t="shared" si="11"/>
        <v>15872.5</v>
      </c>
      <c r="U42" s="105">
        <f t="shared" si="11"/>
        <v>15872.5</v>
      </c>
      <c r="V42" s="105">
        <f t="shared" si="11"/>
        <v>15872.5</v>
      </c>
      <c r="W42" s="105">
        <f t="shared" si="11"/>
        <v>15872.5</v>
      </c>
    </row>
    <row r="43" spans="1:23" ht="11.25" x14ac:dyDescent="0.25">
      <c r="A43" s="99" t="s">
        <v>110</v>
      </c>
      <c r="B43" s="99" t="s">
        <v>82</v>
      </c>
      <c r="C43" s="100">
        <v>416</v>
      </c>
      <c r="E43" s="102">
        <v>1.87</v>
      </c>
      <c r="F43" s="103">
        <v>777.92</v>
      </c>
      <c r="G43" s="99" t="s">
        <v>104</v>
      </c>
      <c r="H43" s="99" t="s">
        <v>80</v>
      </c>
      <c r="I43" s="104">
        <v>42439</v>
      </c>
      <c r="J43" s="99">
        <v>9</v>
      </c>
      <c r="K43" s="110"/>
    </row>
    <row r="44" spans="1:23" ht="11.25" x14ac:dyDescent="0.25">
      <c r="A44" s="99" t="s">
        <v>108</v>
      </c>
      <c r="B44" s="99" t="s">
        <v>82</v>
      </c>
      <c r="C44" s="100">
        <v>416</v>
      </c>
      <c r="E44" s="102">
        <v>1.34</v>
      </c>
      <c r="F44" s="103">
        <v>557.44000000000005</v>
      </c>
      <c r="G44" s="99" t="s">
        <v>104</v>
      </c>
      <c r="H44" s="99" t="s">
        <v>80</v>
      </c>
      <c r="I44" s="104">
        <v>42439</v>
      </c>
      <c r="J44" s="99">
        <v>9</v>
      </c>
      <c r="K44" s="111"/>
    </row>
    <row r="45" spans="1:23" ht="11.25" x14ac:dyDescent="0.25">
      <c r="A45" s="99" t="s">
        <v>107</v>
      </c>
      <c r="B45" s="99" t="s">
        <v>82</v>
      </c>
      <c r="C45" s="100">
        <v>312</v>
      </c>
      <c r="E45" s="102">
        <v>1</v>
      </c>
      <c r="F45" s="103">
        <v>312</v>
      </c>
      <c r="G45" s="99" t="s">
        <v>81</v>
      </c>
      <c r="H45" s="99" t="s">
        <v>80</v>
      </c>
      <c r="I45" s="104">
        <v>42439</v>
      </c>
      <c r="J45" s="99">
        <v>9</v>
      </c>
      <c r="K45" s="115">
        <v>4099.68</v>
      </c>
      <c r="L45" s="105">
        <v>9616</v>
      </c>
      <c r="M45" s="105">
        <v>8312</v>
      </c>
      <c r="N45" s="105">
        <f>(L45+M45)/2</f>
        <v>8964</v>
      </c>
      <c r="O45" s="105">
        <f>N45</f>
        <v>8964</v>
      </c>
      <c r="P45" s="105">
        <f t="shared" ref="P45:W45" si="12">O45</f>
        <v>8964</v>
      </c>
      <c r="Q45" s="105">
        <f t="shared" si="12"/>
        <v>8964</v>
      </c>
      <c r="R45" s="105">
        <f t="shared" si="12"/>
        <v>8964</v>
      </c>
      <c r="S45" s="105">
        <f t="shared" si="12"/>
        <v>8964</v>
      </c>
      <c r="T45" s="105">
        <f t="shared" si="12"/>
        <v>8964</v>
      </c>
      <c r="U45" s="105">
        <f t="shared" si="12"/>
        <v>8964</v>
      </c>
      <c r="V45" s="105">
        <f t="shared" si="12"/>
        <v>8964</v>
      </c>
      <c r="W45" s="105">
        <f t="shared" si="12"/>
        <v>8964</v>
      </c>
    </row>
    <row r="46" spans="1:23" ht="11.25" x14ac:dyDescent="0.25">
      <c r="A46" s="99" t="s">
        <v>106</v>
      </c>
      <c r="B46" s="99" t="s">
        <v>82</v>
      </c>
      <c r="C46" s="100">
        <v>416</v>
      </c>
      <c r="E46" s="102">
        <v>0.75</v>
      </c>
      <c r="F46" s="103">
        <v>312</v>
      </c>
      <c r="G46" s="99" t="s">
        <v>104</v>
      </c>
      <c r="H46" s="99" t="s">
        <v>80</v>
      </c>
      <c r="I46" s="104">
        <v>42439</v>
      </c>
      <c r="J46" s="99">
        <v>9</v>
      </c>
      <c r="K46" s="116"/>
    </row>
    <row r="47" spans="1:23" ht="11.25" x14ac:dyDescent="0.25">
      <c r="A47" s="99" t="s">
        <v>105</v>
      </c>
      <c r="B47" s="99" t="s">
        <v>82</v>
      </c>
      <c r="C47" s="100">
        <v>416</v>
      </c>
      <c r="E47" s="102">
        <v>1.01</v>
      </c>
      <c r="F47" s="103">
        <v>420.16</v>
      </c>
      <c r="G47" s="99" t="s">
        <v>104</v>
      </c>
      <c r="H47" s="99" t="s">
        <v>80</v>
      </c>
      <c r="I47" s="104">
        <v>42439</v>
      </c>
      <c r="J47" s="99">
        <v>9</v>
      </c>
      <c r="K47" s="117"/>
    </row>
    <row r="48" spans="1:23" ht="11.25" x14ac:dyDescent="0.25">
      <c r="A48" s="99" t="s">
        <v>136</v>
      </c>
      <c r="B48" s="99" t="s">
        <v>82</v>
      </c>
      <c r="C48" s="100">
        <v>416</v>
      </c>
      <c r="E48" s="102">
        <v>1.22</v>
      </c>
      <c r="F48" s="103">
        <v>507.52</v>
      </c>
      <c r="G48" s="99" t="s">
        <v>104</v>
      </c>
      <c r="H48" s="99" t="s">
        <v>80</v>
      </c>
      <c r="I48" s="104">
        <v>42465</v>
      </c>
      <c r="J48" s="99">
        <v>9</v>
      </c>
      <c r="K48" s="109">
        <v>28920.240000000002</v>
      </c>
      <c r="L48" s="105">
        <v>26966</v>
      </c>
      <c r="M48" s="105">
        <v>21280</v>
      </c>
      <c r="N48" s="105">
        <f>(L48+M48)/2</f>
        <v>24123</v>
      </c>
      <c r="O48" s="105">
        <f>N48</f>
        <v>24123</v>
      </c>
      <c r="P48" s="105">
        <f t="shared" ref="P48:W48" si="13">O48</f>
        <v>24123</v>
      </c>
      <c r="Q48" s="105">
        <f t="shared" si="13"/>
        <v>24123</v>
      </c>
      <c r="R48" s="105">
        <f t="shared" si="13"/>
        <v>24123</v>
      </c>
      <c r="S48" s="105">
        <f t="shared" si="13"/>
        <v>24123</v>
      </c>
      <c r="T48" s="105">
        <f t="shared" si="13"/>
        <v>24123</v>
      </c>
      <c r="U48" s="105">
        <f t="shared" si="13"/>
        <v>24123</v>
      </c>
      <c r="V48" s="105">
        <f t="shared" si="13"/>
        <v>24123</v>
      </c>
      <c r="W48" s="105">
        <f t="shared" si="13"/>
        <v>24123</v>
      </c>
    </row>
    <row r="49" spans="1:23" ht="11.25" x14ac:dyDescent="0.25">
      <c r="A49" s="99" t="s">
        <v>135</v>
      </c>
      <c r="B49" s="99" t="s">
        <v>82</v>
      </c>
      <c r="C49" s="100">
        <v>312</v>
      </c>
      <c r="E49" s="102">
        <v>2.04</v>
      </c>
      <c r="F49" s="103">
        <v>636.48</v>
      </c>
      <c r="G49" s="99" t="s">
        <v>81</v>
      </c>
      <c r="H49" s="99" t="s">
        <v>80</v>
      </c>
      <c r="I49" s="104">
        <v>42465</v>
      </c>
      <c r="J49" s="99">
        <v>9</v>
      </c>
      <c r="K49" s="110"/>
    </row>
    <row r="50" spans="1:23" ht="11.25" x14ac:dyDescent="0.25">
      <c r="A50" s="99" t="s">
        <v>134</v>
      </c>
      <c r="B50" s="99" t="s">
        <v>82</v>
      </c>
      <c r="C50" s="100">
        <v>312</v>
      </c>
      <c r="E50" s="102">
        <v>2.23</v>
      </c>
      <c r="F50" s="103">
        <v>695.76</v>
      </c>
      <c r="G50" s="99" t="s">
        <v>81</v>
      </c>
      <c r="H50" s="99" t="s">
        <v>80</v>
      </c>
      <c r="I50" s="104">
        <v>42465</v>
      </c>
      <c r="J50" s="99">
        <v>9</v>
      </c>
      <c r="K50" s="110"/>
    </row>
    <row r="51" spans="1:23" ht="11.25" x14ac:dyDescent="0.25">
      <c r="A51" s="99" t="s">
        <v>133</v>
      </c>
      <c r="B51" s="99" t="s">
        <v>82</v>
      </c>
      <c r="C51" s="100">
        <v>312</v>
      </c>
      <c r="E51" s="102">
        <v>1.64</v>
      </c>
      <c r="F51" s="103">
        <v>511.68</v>
      </c>
      <c r="G51" s="99" t="s">
        <v>81</v>
      </c>
      <c r="H51" s="99" t="s">
        <v>80</v>
      </c>
      <c r="I51" s="104">
        <v>42465</v>
      </c>
      <c r="J51" s="99">
        <v>9</v>
      </c>
      <c r="K51" s="111"/>
    </row>
    <row r="52" spans="1:23" ht="11.25" x14ac:dyDescent="0.25">
      <c r="A52" s="99" t="s">
        <v>132</v>
      </c>
      <c r="B52" s="99" t="s">
        <v>82</v>
      </c>
      <c r="C52" s="100">
        <v>416</v>
      </c>
      <c r="E52" s="102">
        <v>1.25</v>
      </c>
      <c r="F52" s="103">
        <v>520</v>
      </c>
      <c r="G52" s="99" t="s">
        <v>104</v>
      </c>
      <c r="H52" s="99" t="s">
        <v>80</v>
      </c>
      <c r="I52" s="104">
        <v>42465</v>
      </c>
      <c r="J52" s="99">
        <v>9</v>
      </c>
      <c r="K52" s="115">
        <v>20671.2</v>
      </c>
      <c r="L52" s="105">
        <v>53028</v>
      </c>
      <c r="M52" s="105">
        <v>51391</v>
      </c>
      <c r="N52" s="105">
        <f>(L52+M52)/2</f>
        <v>52209.5</v>
      </c>
      <c r="O52" s="105">
        <f>N52</f>
        <v>52209.5</v>
      </c>
      <c r="P52" s="105">
        <f t="shared" ref="P52:W52" si="14">O52</f>
        <v>52209.5</v>
      </c>
      <c r="Q52" s="105">
        <f t="shared" si="14"/>
        <v>52209.5</v>
      </c>
      <c r="R52" s="105">
        <f t="shared" si="14"/>
        <v>52209.5</v>
      </c>
      <c r="S52" s="105">
        <f t="shared" si="14"/>
        <v>52209.5</v>
      </c>
      <c r="T52" s="105">
        <f t="shared" si="14"/>
        <v>52209.5</v>
      </c>
      <c r="U52" s="105">
        <f t="shared" si="14"/>
        <v>52209.5</v>
      </c>
      <c r="V52" s="105">
        <f t="shared" si="14"/>
        <v>52209.5</v>
      </c>
      <c r="W52" s="105">
        <f t="shared" si="14"/>
        <v>52209.5</v>
      </c>
    </row>
    <row r="53" spans="1:23" ht="11.25" x14ac:dyDescent="0.25">
      <c r="A53" s="99" t="s">
        <v>131</v>
      </c>
      <c r="B53" s="99" t="s">
        <v>82</v>
      </c>
      <c r="C53" s="100">
        <v>416</v>
      </c>
      <c r="E53" s="102">
        <v>1.33</v>
      </c>
      <c r="F53" s="103">
        <v>553.28</v>
      </c>
      <c r="G53" s="99" t="s">
        <v>104</v>
      </c>
      <c r="H53" s="99" t="s">
        <v>80</v>
      </c>
      <c r="I53" s="104">
        <v>42465</v>
      </c>
      <c r="J53" s="99">
        <v>9</v>
      </c>
      <c r="K53" s="116"/>
    </row>
    <row r="54" spans="1:23" ht="11.25" x14ac:dyDescent="0.25">
      <c r="A54" s="99" t="s">
        <v>130</v>
      </c>
      <c r="B54" s="99" t="s">
        <v>82</v>
      </c>
      <c r="C54" s="100">
        <v>416</v>
      </c>
      <c r="E54" s="102">
        <v>1.33</v>
      </c>
      <c r="F54" s="103">
        <v>553.28</v>
      </c>
      <c r="G54" s="99" t="s">
        <v>104</v>
      </c>
      <c r="H54" s="99" t="s">
        <v>80</v>
      </c>
      <c r="I54" s="104">
        <v>42465</v>
      </c>
      <c r="J54" s="99">
        <v>9</v>
      </c>
      <c r="K54" s="116"/>
    </row>
    <row r="55" spans="1:23" ht="11.25" x14ac:dyDescent="0.25">
      <c r="A55" s="99" t="s">
        <v>129</v>
      </c>
      <c r="B55" s="99" t="s">
        <v>82</v>
      </c>
      <c r="C55" s="100">
        <v>416</v>
      </c>
      <c r="E55" s="102">
        <v>1.66</v>
      </c>
      <c r="F55" s="103">
        <v>690.56</v>
      </c>
      <c r="G55" s="99" t="s">
        <v>104</v>
      </c>
      <c r="H55" s="99" t="s">
        <v>80</v>
      </c>
      <c r="I55" s="104">
        <v>42465</v>
      </c>
      <c r="J55" s="99">
        <v>9</v>
      </c>
      <c r="K55" s="116"/>
    </row>
    <row r="56" spans="1:23" ht="11.25" x14ac:dyDescent="0.25">
      <c r="A56" s="99" t="s">
        <v>128</v>
      </c>
      <c r="B56" s="99" t="s">
        <v>82</v>
      </c>
      <c r="C56" s="100">
        <v>416</v>
      </c>
      <c r="E56" s="102">
        <v>2.66</v>
      </c>
      <c r="F56" s="103">
        <v>1106.56</v>
      </c>
      <c r="G56" s="99" t="s">
        <v>104</v>
      </c>
      <c r="H56" s="99" t="s">
        <v>80</v>
      </c>
      <c r="I56" s="104">
        <v>42465</v>
      </c>
      <c r="J56" s="99">
        <v>9</v>
      </c>
      <c r="K56" s="116"/>
    </row>
    <row r="57" spans="1:23" ht="11.25" x14ac:dyDescent="0.25">
      <c r="A57" s="99" t="s">
        <v>127</v>
      </c>
      <c r="B57" s="99" t="s">
        <v>82</v>
      </c>
      <c r="C57" s="100">
        <v>416</v>
      </c>
      <c r="E57" s="102">
        <v>1.33</v>
      </c>
      <c r="F57" s="103">
        <v>553.28</v>
      </c>
      <c r="G57" s="99" t="s">
        <v>104</v>
      </c>
      <c r="H57" s="99" t="s">
        <v>80</v>
      </c>
      <c r="I57" s="104">
        <v>42465</v>
      </c>
      <c r="J57" s="99">
        <v>9</v>
      </c>
      <c r="K57" s="116"/>
    </row>
    <row r="58" spans="1:23" ht="11.25" x14ac:dyDescent="0.25">
      <c r="A58" s="99" t="s">
        <v>126</v>
      </c>
      <c r="B58" s="99" t="s">
        <v>82</v>
      </c>
      <c r="C58" s="100">
        <v>416</v>
      </c>
      <c r="E58" s="102">
        <v>1.33</v>
      </c>
      <c r="F58" s="103">
        <v>553.28</v>
      </c>
      <c r="G58" s="99" t="s">
        <v>104</v>
      </c>
      <c r="H58" s="99" t="s">
        <v>80</v>
      </c>
      <c r="I58" s="104">
        <v>42465</v>
      </c>
      <c r="J58" s="99">
        <v>9</v>
      </c>
      <c r="K58" s="116"/>
    </row>
    <row r="59" spans="1:23" ht="11.25" x14ac:dyDescent="0.25">
      <c r="A59" s="99" t="s">
        <v>125</v>
      </c>
      <c r="B59" s="99" t="s">
        <v>82</v>
      </c>
      <c r="C59" s="100">
        <v>416</v>
      </c>
      <c r="E59" s="102">
        <v>1.33</v>
      </c>
      <c r="F59" s="103">
        <v>553.28</v>
      </c>
      <c r="G59" s="99" t="s">
        <v>104</v>
      </c>
      <c r="H59" s="99" t="s">
        <v>80</v>
      </c>
      <c r="I59" s="104">
        <v>42465</v>
      </c>
      <c r="J59" s="99">
        <v>9</v>
      </c>
      <c r="K59" s="116"/>
    </row>
    <row r="60" spans="1:23" ht="11.25" x14ac:dyDescent="0.25">
      <c r="A60" s="99" t="s">
        <v>124</v>
      </c>
      <c r="B60" s="99" t="s">
        <v>82</v>
      </c>
      <c r="C60" s="100">
        <v>416</v>
      </c>
      <c r="E60" s="102">
        <v>1.33</v>
      </c>
      <c r="F60" s="103">
        <v>553.28</v>
      </c>
      <c r="G60" s="99" t="s">
        <v>104</v>
      </c>
      <c r="H60" s="99" t="s">
        <v>80</v>
      </c>
      <c r="I60" s="104">
        <v>42465</v>
      </c>
      <c r="J60" s="99">
        <v>9</v>
      </c>
      <c r="K60" s="116"/>
    </row>
    <row r="61" spans="1:23" ht="11.25" x14ac:dyDescent="0.25">
      <c r="A61" s="99" t="s">
        <v>123</v>
      </c>
      <c r="B61" s="99" t="s">
        <v>82</v>
      </c>
      <c r="C61" s="100">
        <v>416</v>
      </c>
      <c r="E61" s="102">
        <v>1.33</v>
      </c>
      <c r="F61" s="103">
        <v>553.28</v>
      </c>
      <c r="G61" s="99" t="s">
        <v>104</v>
      </c>
      <c r="H61" s="99" t="s">
        <v>80</v>
      </c>
      <c r="I61" s="104">
        <v>42465</v>
      </c>
      <c r="J61" s="99">
        <v>9</v>
      </c>
      <c r="K61" s="116"/>
    </row>
    <row r="62" spans="1:23" ht="11.25" x14ac:dyDescent="0.25">
      <c r="A62" s="99" t="s">
        <v>122</v>
      </c>
      <c r="B62" s="99" t="s">
        <v>82</v>
      </c>
      <c r="C62" s="100">
        <v>416</v>
      </c>
      <c r="E62" s="102">
        <v>1.33</v>
      </c>
      <c r="F62" s="103">
        <v>553.28</v>
      </c>
      <c r="G62" s="99" t="s">
        <v>104</v>
      </c>
      <c r="H62" s="99" t="s">
        <v>80</v>
      </c>
      <c r="I62" s="104">
        <v>42465</v>
      </c>
      <c r="J62" s="99">
        <v>9</v>
      </c>
      <c r="K62" s="117"/>
    </row>
    <row r="63" spans="1:23" ht="11.25" x14ac:dyDescent="0.2">
      <c r="A63" s="99" t="s">
        <v>92</v>
      </c>
      <c r="B63" s="99" t="s">
        <v>186</v>
      </c>
      <c r="C63" s="100">
        <v>476</v>
      </c>
      <c r="E63" s="102">
        <v>0.97</v>
      </c>
      <c r="F63" s="103">
        <v>461.72</v>
      </c>
      <c r="G63" s="99" t="s">
        <v>87</v>
      </c>
      <c r="H63" s="99" t="s">
        <v>80</v>
      </c>
      <c r="I63" s="104">
        <v>42313</v>
      </c>
      <c r="J63" s="99">
        <v>10</v>
      </c>
      <c r="K63" s="105">
        <v>1508.49</v>
      </c>
      <c r="L63" s="105">
        <v>3841</v>
      </c>
      <c r="M63" s="27">
        <v>1949</v>
      </c>
      <c r="N63" s="105">
        <f>(L63+M63)/2*1.1</f>
        <v>3184.5000000000005</v>
      </c>
      <c r="O63" s="105">
        <f>N63*1.1</f>
        <v>3502.9500000000007</v>
      </c>
      <c r="P63" s="105">
        <f t="shared" ref="P63:Q63" si="15">O63*1.1</f>
        <v>3853.2450000000013</v>
      </c>
      <c r="Q63" s="105">
        <f t="shared" si="15"/>
        <v>4238.5695000000014</v>
      </c>
      <c r="R63" s="105">
        <f>Q63</f>
        <v>4238.5695000000014</v>
      </c>
      <c r="S63" s="105">
        <f>R63</f>
        <v>4238.5695000000014</v>
      </c>
      <c r="T63" s="105">
        <f t="shared" ref="T63:W66" si="16">S63</f>
        <v>4238.5695000000014</v>
      </c>
      <c r="U63" s="105">
        <f t="shared" si="16"/>
        <v>4238.5695000000014</v>
      </c>
      <c r="V63" s="105">
        <f t="shared" si="16"/>
        <v>4238.5695000000014</v>
      </c>
      <c r="W63" s="105">
        <f t="shared" si="16"/>
        <v>4238.5695000000014</v>
      </c>
    </row>
    <row r="64" spans="1:23" ht="11.25" x14ac:dyDescent="0.2">
      <c r="A64" s="99" t="s">
        <v>91</v>
      </c>
      <c r="B64" s="99" t="s">
        <v>186</v>
      </c>
      <c r="C64" s="100">
        <v>476</v>
      </c>
      <c r="E64" s="102">
        <v>0.37</v>
      </c>
      <c r="F64" s="103">
        <v>176.12</v>
      </c>
      <c r="G64" s="99" t="s">
        <v>87</v>
      </c>
      <c r="H64" s="99" t="s">
        <v>80</v>
      </c>
      <c r="I64" s="104">
        <v>42313</v>
      </c>
      <c r="J64" s="99">
        <v>10</v>
      </c>
      <c r="K64" s="105">
        <v>811.6875</v>
      </c>
      <c r="L64" s="105">
        <v>1588</v>
      </c>
      <c r="M64" s="27">
        <v>719</v>
      </c>
      <c r="N64" s="105">
        <f>(L64+M64)/2*1.1</f>
        <v>1268.8500000000001</v>
      </c>
      <c r="O64" s="105">
        <f t="shared" ref="O64:R71" si="17">N64*1.1</f>
        <v>1395.7350000000004</v>
      </c>
      <c r="P64" s="105">
        <f t="shared" si="17"/>
        <v>1535.3085000000005</v>
      </c>
      <c r="Q64" s="105">
        <f t="shared" si="17"/>
        <v>1688.8393500000006</v>
      </c>
      <c r="R64" s="105">
        <f t="shared" ref="R64:W71" si="18">Q64</f>
        <v>1688.8393500000006</v>
      </c>
      <c r="S64" s="105">
        <f t="shared" si="18"/>
        <v>1688.8393500000006</v>
      </c>
      <c r="T64" s="105">
        <f t="shared" si="16"/>
        <v>1688.8393500000006</v>
      </c>
      <c r="U64" s="105">
        <f t="shared" si="16"/>
        <v>1688.8393500000006</v>
      </c>
      <c r="V64" s="105">
        <f t="shared" si="16"/>
        <v>1688.8393500000006</v>
      </c>
      <c r="W64" s="105">
        <f t="shared" si="16"/>
        <v>1688.8393500000006</v>
      </c>
    </row>
    <row r="65" spans="1:23" ht="11.25" x14ac:dyDescent="0.2">
      <c r="A65" s="99" t="s">
        <v>89</v>
      </c>
      <c r="B65" s="99" t="s">
        <v>186</v>
      </c>
      <c r="C65" s="100">
        <v>476</v>
      </c>
      <c r="E65" s="102">
        <v>2.0099999999999998</v>
      </c>
      <c r="F65" s="103">
        <v>956.76</v>
      </c>
      <c r="G65" s="99" t="s">
        <v>87</v>
      </c>
      <c r="H65" s="99" t="s">
        <v>80</v>
      </c>
      <c r="I65" s="104">
        <v>42313</v>
      </c>
      <c r="J65" s="99">
        <v>10</v>
      </c>
      <c r="K65" s="105">
        <v>2127.87</v>
      </c>
      <c r="L65" s="105">
        <v>5250</v>
      </c>
      <c r="M65" s="27">
        <v>3820</v>
      </c>
      <c r="N65" s="105">
        <f>(L65+M65)/2*1.1</f>
        <v>4988.5</v>
      </c>
      <c r="O65" s="105">
        <f t="shared" si="17"/>
        <v>5487.35</v>
      </c>
      <c r="P65" s="105">
        <f t="shared" si="17"/>
        <v>6036.0850000000009</v>
      </c>
      <c r="Q65" s="105">
        <f t="shared" si="17"/>
        <v>6639.6935000000012</v>
      </c>
      <c r="R65" s="105">
        <f t="shared" si="18"/>
        <v>6639.6935000000012</v>
      </c>
      <c r="S65" s="105">
        <f t="shared" si="18"/>
        <v>6639.6935000000012</v>
      </c>
      <c r="T65" s="105">
        <f t="shared" si="16"/>
        <v>6639.6935000000012</v>
      </c>
      <c r="U65" s="105">
        <f t="shared" si="16"/>
        <v>6639.6935000000012</v>
      </c>
      <c r="V65" s="105">
        <f t="shared" si="16"/>
        <v>6639.6935000000012</v>
      </c>
      <c r="W65" s="105">
        <f t="shared" si="16"/>
        <v>6639.6935000000012</v>
      </c>
    </row>
    <row r="66" spans="1:23" ht="11.25" x14ac:dyDescent="0.2">
      <c r="A66" s="99" t="s">
        <v>88</v>
      </c>
      <c r="B66" s="99" t="s">
        <v>186</v>
      </c>
      <c r="C66" s="100">
        <v>476</v>
      </c>
      <c r="E66" s="102">
        <v>1.93</v>
      </c>
      <c r="F66" s="103">
        <v>918.68</v>
      </c>
      <c r="G66" s="99" t="s">
        <v>87</v>
      </c>
      <c r="H66" s="99" t="s">
        <v>80</v>
      </c>
      <c r="I66" s="104">
        <v>42313</v>
      </c>
      <c r="J66" s="99">
        <v>10</v>
      </c>
      <c r="K66" s="105">
        <v>5179.8149999999996</v>
      </c>
      <c r="L66" s="105">
        <v>6688</v>
      </c>
      <c r="M66" s="27">
        <v>1920</v>
      </c>
      <c r="N66" s="105">
        <f>(L66+M66)/2*1.1</f>
        <v>4734.4000000000005</v>
      </c>
      <c r="O66" s="105">
        <f t="shared" si="17"/>
        <v>5207.8400000000011</v>
      </c>
      <c r="P66" s="105">
        <f t="shared" si="17"/>
        <v>5728.6240000000016</v>
      </c>
      <c r="Q66" s="105">
        <f t="shared" si="17"/>
        <v>6301.4864000000025</v>
      </c>
      <c r="R66" s="105">
        <f t="shared" si="18"/>
        <v>6301.4864000000025</v>
      </c>
      <c r="S66" s="105">
        <f t="shared" si="18"/>
        <v>6301.4864000000025</v>
      </c>
      <c r="T66" s="105">
        <f t="shared" si="16"/>
        <v>6301.4864000000025</v>
      </c>
      <c r="U66" s="105">
        <f t="shared" si="16"/>
        <v>6301.4864000000025</v>
      </c>
      <c r="V66" s="105">
        <f t="shared" si="16"/>
        <v>6301.4864000000025</v>
      </c>
      <c r="W66" s="105">
        <f t="shared" si="16"/>
        <v>6301.4864000000025</v>
      </c>
    </row>
    <row r="67" spans="1:23" ht="11.25" x14ac:dyDescent="0.25">
      <c r="A67" s="99" t="s">
        <v>109</v>
      </c>
      <c r="B67" s="99" t="s">
        <v>186</v>
      </c>
      <c r="C67" s="100">
        <v>312</v>
      </c>
      <c r="E67" s="102">
        <v>0.54</v>
      </c>
      <c r="F67" s="103">
        <v>168.48</v>
      </c>
      <c r="G67" s="99" t="s">
        <v>81</v>
      </c>
      <c r="H67" s="99" t="s">
        <v>80</v>
      </c>
      <c r="I67" s="104">
        <v>42439</v>
      </c>
      <c r="J67" s="99">
        <v>9</v>
      </c>
      <c r="K67" s="115">
        <v>7457.5349999999999</v>
      </c>
      <c r="L67" s="105">
        <v>23202</v>
      </c>
      <c r="M67" s="105">
        <v>16468</v>
      </c>
      <c r="N67" s="105">
        <f>(L67+M67)/2*1.1</f>
        <v>21818.5</v>
      </c>
      <c r="O67" s="105">
        <f t="shared" si="17"/>
        <v>24000.350000000002</v>
      </c>
      <c r="P67" s="105">
        <f t="shared" si="17"/>
        <v>26400.385000000006</v>
      </c>
      <c r="Q67" s="105">
        <f t="shared" si="17"/>
        <v>29040.423500000008</v>
      </c>
      <c r="R67" s="105">
        <f t="shared" si="17"/>
        <v>31944.465850000011</v>
      </c>
      <c r="S67" s="105">
        <f t="shared" si="18"/>
        <v>31944.465850000011</v>
      </c>
      <c r="T67" s="105">
        <f t="shared" si="18"/>
        <v>31944.465850000011</v>
      </c>
      <c r="U67" s="105">
        <f t="shared" si="18"/>
        <v>31944.465850000011</v>
      </c>
      <c r="V67" s="105">
        <f t="shared" si="18"/>
        <v>31944.465850000011</v>
      </c>
      <c r="W67" s="105">
        <f t="shared" si="18"/>
        <v>31944.465850000011</v>
      </c>
    </row>
    <row r="68" spans="1:23" ht="11.25" x14ac:dyDescent="0.25">
      <c r="A68" s="99" t="s">
        <v>102</v>
      </c>
      <c r="B68" s="99" t="s">
        <v>186</v>
      </c>
      <c r="C68" s="100">
        <v>312</v>
      </c>
      <c r="E68" s="102">
        <v>2.31</v>
      </c>
      <c r="F68" s="103">
        <v>720.72</v>
      </c>
      <c r="G68" s="99" t="s">
        <v>81</v>
      </c>
      <c r="H68" s="99" t="s">
        <v>80</v>
      </c>
      <c r="I68" s="104">
        <v>42439</v>
      </c>
      <c r="J68" s="99">
        <v>9</v>
      </c>
      <c r="K68" s="116"/>
    </row>
    <row r="69" spans="1:23" ht="11.25" x14ac:dyDescent="0.25">
      <c r="A69" s="99" t="s">
        <v>100</v>
      </c>
      <c r="B69" s="99" t="s">
        <v>186</v>
      </c>
      <c r="C69" s="100">
        <v>312</v>
      </c>
      <c r="E69" s="102">
        <v>2.04</v>
      </c>
      <c r="F69" s="103">
        <v>636.48</v>
      </c>
      <c r="G69" s="99" t="s">
        <v>81</v>
      </c>
      <c r="H69" s="99" t="s">
        <v>80</v>
      </c>
      <c r="I69" s="104">
        <v>42439</v>
      </c>
      <c r="J69" s="99">
        <v>9</v>
      </c>
      <c r="K69" s="116"/>
    </row>
    <row r="70" spans="1:23" ht="11.25" x14ac:dyDescent="0.25">
      <c r="A70" s="99" t="s">
        <v>121</v>
      </c>
      <c r="B70" s="99" t="s">
        <v>186</v>
      </c>
      <c r="C70" s="100">
        <v>416</v>
      </c>
      <c r="E70" s="102">
        <v>1.1499999999999999</v>
      </c>
      <c r="F70" s="103">
        <v>478.4</v>
      </c>
      <c r="G70" s="99" t="s">
        <v>104</v>
      </c>
      <c r="H70" s="99" t="s">
        <v>80</v>
      </c>
      <c r="I70" s="104">
        <v>42439</v>
      </c>
      <c r="J70" s="99">
        <v>9</v>
      </c>
      <c r="K70" s="117"/>
    </row>
    <row r="71" spans="1:23" ht="11.25" x14ac:dyDescent="0.25">
      <c r="A71" s="99" t="s">
        <v>98</v>
      </c>
      <c r="B71" s="99" t="s">
        <v>186</v>
      </c>
      <c r="C71" s="100">
        <v>312</v>
      </c>
      <c r="E71" s="102">
        <v>2.21</v>
      </c>
      <c r="F71" s="103">
        <v>689.52</v>
      </c>
      <c r="G71" s="99" t="s">
        <v>81</v>
      </c>
      <c r="H71" s="99" t="s">
        <v>80</v>
      </c>
      <c r="I71" s="104">
        <v>42439</v>
      </c>
      <c r="J71" s="99">
        <v>9</v>
      </c>
      <c r="K71" s="115">
        <v>7902.09</v>
      </c>
      <c r="L71" s="105">
        <v>17158</v>
      </c>
      <c r="M71" s="105">
        <v>10191</v>
      </c>
      <c r="N71" s="105">
        <f>(L71+M71)/2*1.1</f>
        <v>15041.95</v>
      </c>
      <c r="O71" s="105">
        <f t="shared" si="17"/>
        <v>16546.145</v>
      </c>
      <c r="P71" s="105">
        <f t="shared" si="17"/>
        <v>18200.759500000004</v>
      </c>
      <c r="Q71" s="105">
        <f t="shared" si="17"/>
        <v>20020.835450000006</v>
      </c>
      <c r="R71" s="105">
        <f t="shared" si="17"/>
        <v>22022.918995000007</v>
      </c>
      <c r="S71" s="105">
        <f t="shared" si="18"/>
        <v>22022.918995000007</v>
      </c>
      <c r="T71" s="105">
        <f t="shared" si="18"/>
        <v>22022.918995000007</v>
      </c>
      <c r="U71" s="105">
        <f t="shared" si="18"/>
        <v>22022.918995000007</v>
      </c>
      <c r="V71" s="105">
        <f t="shared" si="18"/>
        <v>22022.918995000007</v>
      </c>
      <c r="W71" s="105">
        <f t="shared" si="18"/>
        <v>22022.918995000007</v>
      </c>
    </row>
    <row r="72" spans="1:23" ht="11.25" x14ac:dyDescent="0.25">
      <c r="A72" s="99" t="s">
        <v>119</v>
      </c>
      <c r="B72" s="99" t="s">
        <v>186</v>
      </c>
      <c r="C72" s="100">
        <v>312</v>
      </c>
      <c r="E72" s="102">
        <v>1.8</v>
      </c>
      <c r="F72" s="103">
        <v>561.6</v>
      </c>
      <c r="G72" s="99" t="s">
        <v>81</v>
      </c>
      <c r="H72" s="99" t="s">
        <v>80</v>
      </c>
      <c r="I72" s="104">
        <v>42439</v>
      </c>
      <c r="J72" s="99">
        <v>9</v>
      </c>
      <c r="K72" s="116"/>
    </row>
    <row r="73" spans="1:23" ht="11.25" x14ac:dyDescent="0.25">
      <c r="A73" s="99" t="s">
        <v>117</v>
      </c>
      <c r="B73" s="99" t="s">
        <v>186</v>
      </c>
      <c r="C73" s="100">
        <v>312</v>
      </c>
      <c r="E73" s="102">
        <v>1.93</v>
      </c>
      <c r="F73" s="103">
        <v>602.16</v>
      </c>
      <c r="G73" s="99" t="s">
        <v>81</v>
      </c>
      <c r="H73" s="99" t="s">
        <v>80</v>
      </c>
      <c r="I73" s="104">
        <v>42439</v>
      </c>
      <c r="J73" s="99">
        <v>9</v>
      </c>
      <c r="K73" s="117"/>
    </row>
    <row r="74" spans="1:23" ht="11.25" x14ac:dyDescent="0.2">
      <c r="A74" s="99" t="s">
        <v>146</v>
      </c>
      <c r="B74" s="99" t="s">
        <v>145</v>
      </c>
      <c r="C74" s="100">
        <v>416</v>
      </c>
      <c r="D74" s="118"/>
      <c r="E74" s="102">
        <v>12</v>
      </c>
      <c r="F74" s="103">
        <v>4992</v>
      </c>
      <c r="G74" s="99" t="s">
        <v>104</v>
      </c>
      <c r="H74" s="99" t="s">
        <v>80</v>
      </c>
      <c r="I74" s="104">
        <v>43685</v>
      </c>
      <c r="J74" s="99">
        <v>6</v>
      </c>
      <c r="K74" s="105">
        <v>4666.6125000000002</v>
      </c>
      <c r="L74" s="105">
        <v>10736</v>
      </c>
      <c r="M74" s="105">
        <v>24896</v>
      </c>
      <c r="N74" s="106">
        <f>M74*1.5</f>
        <v>37344</v>
      </c>
      <c r="O74" s="106">
        <f>N74*1.1</f>
        <v>41078.400000000001</v>
      </c>
      <c r="P74" s="106">
        <f t="shared" ref="P74:U74" si="19">O74*1.1</f>
        <v>45186.240000000005</v>
      </c>
      <c r="Q74" s="106">
        <f t="shared" si="19"/>
        <v>49704.864000000009</v>
      </c>
      <c r="R74" s="106">
        <f t="shared" si="19"/>
        <v>54675.350400000018</v>
      </c>
      <c r="S74" s="106">
        <f t="shared" si="19"/>
        <v>60142.885440000027</v>
      </c>
      <c r="T74" s="106">
        <f t="shared" si="19"/>
        <v>66157.173984000037</v>
      </c>
      <c r="U74" s="106">
        <f t="shared" si="19"/>
        <v>72772.891382400048</v>
      </c>
      <c r="V74" s="105">
        <f>U74</f>
        <v>72772.891382400048</v>
      </c>
      <c r="W74" s="105">
        <f>V74</f>
        <v>72772.891382400048</v>
      </c>
    </row>
    <row r="75" spans="1:23" ht="11.25" x14ac:dyDescent="0.25">
      <c r="A75" s="99" t="s">
        <v>141</v>
      </c>
      <c r="B75" s="99" t="s">
        <v>140</v>
      </c>
      <c r="C75" s="100">
        <v>204</v>
      </c>
      <c r="E75" s="102">
        <v>6</v>
      </c>
      <c r="F75" s="103">
        <v>1224</v>
      </c>
      <c r="G75" s="99" t="s">
        <v>139</v>
      </c>
      <c r="H75" s="99" t="s">
        <v>80</v>
      </c>
      <c r="I75" s="104">
        <v>43053</v>
      </c>
      <c r="J75" s="99">
        <v>8</v>
      </c>
      <c r="K75" s="105">
        <v>4843.8</v>
      </c>
      <c r="L75" s="105">
        <v>16942</v>
      </c>
      <c r="M75" s="105">
        <v>11127</v>
      </c>
      <c r="N75" s="105">
        <f>(L75+M75)/2*1.2</f>
        <v>16841.399999999998</v>
      </c>
      <c r="O75" s="105">
        <f>N75*1.2</f>
        <v>20209.679999999997</v>
      </c>
      <c r="P75" s="105">
        <f>O75*1.2</f>
        <v>24251.615999999995</v>
      </c>
      <c r="Q75" s="105">
        <f t="shared" ref="Q75:U76" si="20">P75*1.2</f>
        <v>29101.939199999993</v>
      </c>
      <c r="R75" s="105">
        <f t="shared" si="20"/>
        <v>34922.327039999989</v>
      </c>
      <c r="S75" s="105">
        <f t="shared" si="20"/>
        <v>41906.792447999986</v>
      </c>
      <c r="T75" s="105">
        <f>S75</f>
        <v>41906.792447999986</v>
      </c>
      <c r="U75" s="105">
        <f t="shared" ref="U75:W76" si="21">T75</f>
        <v>41906.792447999986</v>
      </c>
      <c r="V75" s="105">
        <f t="shared" si="21"/>
        <v>41906.792447999986</v>
      </c>
      <c r="W75" s="105">
        <f t="shared" si="21"/>
        <v>41906.792447999986</v>
      </c>
    </row>
    <row r="76" spans="1:23" ht="11.25" x14ac:dyDescent="0.25">
      <c r="A76" s="99" t="s">
        <v>146</v>
      </c>
      <c r="B76" s="99" t="s">
        <v>140</v>
      </c>
      <c r="C76" s="100">
        <v>416</v>
      </c>
      <c r="E76" s="102">
        <v>3</v>
      </c>
      <c r="F76" s="103">
        <v>1248</v>
      </c>
      <c r="G76" s="99" t="s">
        <v>104</v>
      </c>
      <c r="H76" s="99" t="s">
        <v>80</v>
      </c>
      <c r="I76" s="104">
        <v>43685</v>
      </c>
      <c r="J76" s="99">
        <v>6</v>
      </c>
      <c r="M76" s="105">
        <v>1354</v>
      </c>
      <c r="N76" s="105">
        <f>M76*2</f>
        <v>2708</v>
      </c>
      <c r="O76" s="105">
        <f>N76*2</f>
        <v>5416</v>
      </c>
      <c r="P76" s="105">
        <f>O76*1.2</f>
        <v>6499.2</v>
      </c>
      <c r="Q76" s="105">
        <f t="shared" si="20"/>
        <v>7799.0399999999991</v>
      </c>
      <c r="R76" s="105">
        <f t="shared" si="20"/>
        <v>9358.8479999999981</v>
      </c>
      <c r="S76" s="105">
        <f t="shared" si="20"/>
        <v>11230.617599999998</v>
      </c>
      <c r="T76" s="105">
        <f t="shared" si="20"/>
        <v>13476.741119999997</v>
      </c>
      <c r="U76" s="105">
        <f t="shared" si="20"/>
        <v>16172.089343999996</v>
      </c>
      <c r="V76" s="105">
        <f t="shared" si="21"/>
        <v>16172.089343999996</v>
      </c>
      <c r="W76" s="105">
        <f t="shared" si="21"/>
        <v>16172.089343999996</v>
      </c>
    </row>
  </sheetData>
  <phoneticPr fontId="3" type="noConversion"/>
  <pageMargins left="0" right="0" top="0" bottom="0" header="0" footer="0"/>
  <pageSetup paperSize="0" fitToWidth="0" fitToHeight="0" orientation="portrait" horizontalDpi="0" verticalDpi="0" copies="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6D87B-27B3-49F4-AE93-EBBFB8585AAD}">
  <dimension ref="A1:O45"/>
  <sheetViews>
    <sheetView zoomScale="130" zoomScaleNormal="130" workbookViewId="0">
      <selection activeCell="N30" sqref="N30"/>
    </sheetView>
  </sheetViews>
  <sheetFormatPr defaultRowHeight="15" x14ac:dyDescent="0.25"/>
  <cols>
    <col min="1" max="1" width="13.5703125" bestFit="1" customWidth="1"/>
    <col min="2" max="2" width="10.140625" bestFit="1" customWidth="1"/>
    <col min="3" max="3" width="17.42578125" bestFit="1" customWidth="1"/>
    <col min="4" max="5" width="16.85546875" bestFit="1" customWidth="1"/>
    <col min="6" max="6" width="11.7109375" bestFit="1" customWidth="1"/>
    <col min="7" max="12" width="12" bestFit="1" customWidth="1"/>
    <col min="13" max="15" width="11.7109375" bestFit="1" customWidth="1"/>
    <col min="16" max="17" width="5" bestFit="1" customWidth="1"/>
    <col min="18" max="18" width="4" bestFit="1" customWidth="1"/>
    <col min="19" max="19" width="5" bestFit="1" customWidth="1"/>
    <col min="20" max="20" width="4" bestFit="1" customWidth="1"/>
    <col min="21" max="25" width="5" bestFit="1" customWidth="1"/>
    <col min="26" max="26" width="2" bestFit="1" customWidth="1"/>
    <col min="27" max="40" width="5" bestFit="1" customWidth="1"/>
    <col min="41" max="41" width="2" bestFit="1" customWidth="1"/>
    <col min="42" max="46" width="5" bestFit="1" customWidth="1"/>
    <col min="47" max="49" width="2" bestFit="1" customWidth="1"/>
    <col min="50" max="50" width="3" bestFit="1" customWidth="1"/>
    <col min="51" max="51" width="7.28515625" bestFit="1" customWidth="1"/>
    <col min="52" max="52" width="11.28515625" bestFit="1" customWidth="1"/>
    <col min="53" max="53" width="16.85546875" bestFit="1" customWidth="1"/>
    <col min="54" max="54" width="17.42578125" bestFit="1" customWidth="1"/>
    <col min="55" max="55" width="16.85546875" bestFit="1" customWidth="1"/>
    <col min="56" max="56" width="17.42578125" bestFit="1" customWidth="1"/>
    <col min="57" max="57" width="16.85546875" bestFit="1" customWidth="1"/>
    <col min="58" max="58" width="17.42578125" bestFit="1" customWidth="1"/>
    <col min="59" max="59" width="16.85546875" bestFit="1" customWidth="1"/>
    <col min="60" max="60" width="17.42578125" bestFit="1" customWidth="1"/>
    <col min="61" max="61" width="16.85546875" bestFit="1" customWidth="1"/>
    <col min="62" max="62" width="17.42578125" bestFit="1" customWidth="1"/>
    <col min="63" max="63" width="16.85546875" bestFit="1" customWidth="1"/>
    <col min="64" max="64" width="17.42578125" bestFit="1" customWidth="1"/>
    <col min="65" max="65" width="16.85546875" bestFit="1" customWidth="1"/>
    <col min="66" max="66" width="22.42578125" bestFit="1" customWidth="1"/>
    <col min="67" max="67" width="22" bestFit="1" customWidth="1"/>
    <col min="68" max="68" width="10.85546875" bestFit="1" customWidth="1"/>
    <col min="69" max="69" width="12.42578125" bestFit="1" customWidth="1"/>
    <col min="70" max="71" width="10.85546875" bestFit="1" customWidth="1"/>
    <col min="72" max="72" width="13.5703125" bestFit="1" customWidth="1"/>
    <col min="73" max="74" width="10.85546875" bestFit="1" customWidth="1"/>
    <col min="75" max="75" width="13.5703125" bestFit="1" customWidth="1"/>
    <col min="76" max="77" width="10.85546875" bestFit="1" customWidth="1"/>
    <col min="78" max="78" width="13.5703125" bestFit="1" customWidth="1"/>
    <col min="79" max="80" width="10.85546875" bestFit="1" customWidth="1"/>
    <col min="81" max="81" width="13.5703125" bestFit="1" customWidth="1"/>
    <col min="82" max="82" width="9.85546875" bestFit="1" customWidth="1"/>
    <col min="83" max="83" width="10.85546875" bestFit="1" customWidth="1"/>
    <col min="84" max="84" width="12.42578125" bestFit="1" customWidth="1"/>
    <col min="85" max="85" width="9.85546875" bestFit="1" customWidth="1"/>
    <col min="86" max="86" width="10.85546875" bestFit="1" customWidth="1"/>
    <col min="87" max="87" width="12.42578125" bestFit="1" customWidth="1"/>
    <col min="88" max="89" width="10.85546875" bestFit="1" customWidth="1"/>
    <col min="90" max="90" width="13.5703125" bestFit="1" customWidth="1"/>
    <col min="91" max="92" width="10.85546875" bestFit="1" customWidth="1"/>
    <col min="93" max="93" width="13.5703125" bestFit="1" customWidth="1"/>
    <col min="94" max="95" width="10.85546875" bestFit="1" customWidth="1"/>
    <col min="96" max="96" width="13.5703125" bestFit="1" customWidth="1"/>
    <col min="97" max="97" width="9.140625" bestFit="1" customWidth="1"/>
    <col min="98" max="98" width="7.28515625" bestFit="1" customWidth="1"/>
    <col min="99" max="100" width="12.140625" bestFit="1" customWidth="1"/>
    <col min="101" max="101" width="11.28515625" bestFit="1" customWidth="1"/>
    <col min="102" max="102" width="16.85546875" bestFit="1" customWidth="1"/>
    <col min="103" max="103" width="13.7109375" bestFit="1" customWidth="1"/>
    <col min="104" max="104" width="15.85546875" bestFit="1" customWidth="1"/>
    <col min="105" max="105" width="12.7109375" bestFit="1" customWidth="1"/>
    <col min="106" max="106" width="15.85546875" bestFit="1" customWidth="1"/>
    <col min="107" max="107" width="13.7109375" bestFit="1" customWidth="1"/>
    <col min="108" max="108" width="15.85546875" bestFit="1" customWidth="1"/>
    <col min="109" max="109" width="12.7109375" bestFit="1" customWidth="1"/>
    <col min="110" max="110" width="15.85546875" bestFit="1" customWidth="1"/>
    <col min="111" max="111" width="13.7109375" bestFit="1" customWidth="1"/>
    <col min="112" max="112" width="15.85546875" bestFit="1" customWidth="1"/>
    <col min="113" max="113" width="12.7109375" bestFit="1" customWidth="1"/>
    <col min="114" max="114" width="15.85546875" bestFit="1" customWidth="1"/>
    <col min="115" max="115" width="13.7109375" bestFit="1" customWidth="1"/>
    <col min="116" max="116" width="15.85546875" bestFit="1" customWidth="1"/>
    <col min="117" max="117" width="13.7109375" bestFit="1" customWidth="1"/>
    <col min="118" max="118" width="15.85546875" bestFit="1" customWidth="1"/>
    <col min="119" max="119" width="13.7109375" bestFit="1" customWidth="1"/>
    <col min="120" max="120" width="16.85546875" bestFit="1" customWidth="1"/>
    <col min="121" max="121" width="13.7109375" bestFit="1" customWidth="1"/>
    <col min="122" max="122" width="16.85546875" bestFit="1" customWidth="1"/>
    <col min="123" max="123" width="13.7109375" bestFit="1" customWidth="1"/>
    <col min="124" max="124" width="15.85546875" bestFit="1" customWidth="1"/>
    <col min="125" max="125" width="13.7109375" bestFit="1" customWidth="1"/>
    <col min="126" max="126" width="15.85546875" bestFit="1" customWidth="1"/>
    <col min="127" max="127" width="13.7109375" bestFit="1" customWidth="1"/>
    <col min="128" max="128" width="15.85546875" bestFit="1" customWidth="1"/>
    <col min="129" max="129" width="13.7109375" bestFit="1" customWidth="1"/>
    <col min="130" max="130" width="15.85546875" bestFit="1" customWidth="1"/>
    <col min="131" max="131" width="13.7109375" bestFit="1" customWidth="1"/>
    <col min="132" max="132" width="15.85546875" bestFit="1" customWidth="1"/>
    <col min="133" max="133" width="13.7109375" bestFit="1" customWidth="1"/>
    <col min="134" max="134" width="15.85546875" bestFit="1" customWidth="1"/>
    <col min="135" max="135" width="13.7109375" bestFit="1" customWidth="1"/>
    <col min="136" max="136" width="15.85546875" bestFit="1" customWidth="1"/>
    <col min="137" max="137" width="13.7109375" bestFit="1" customWidth="1"/>
    <col min="138" max="138" width="15.85546875" bestFit="1" customWidth="1"/>
    <col min="140" max="140" width="12.140625" bestFit="1" customWidth="1"/>
    <col min="141" max="141" width="11.28515625" bestFit="1" customWidth="1"/>
  </cols>
  <sheetData>
    <row r="1" spans="1:15" ht="48" customHeight="1" x14ac:dyDescent="0.25">
      <c r="A1" s="129" t="s">
        <v>261</v>
      </c>
      <c r="B1" s="129"/>
      <c r="C1" s="129"/>
      <c r="D1" s="130"/>
      <c r="E1" s="130"/>
      <c r="F1" s="130"/>
      <c r="G1" s="130"/>
      <c r="H1" s="130"/>
      <c r="I1" s="130"/>
      <c r="J1" s="130"/>
      <c r="K1" s="130"/>
      <c r="L1" s="130"/>
      <c r="M1" s="130"/>
      <c r="N1" s="130"/>
      <c r="O1" s="130"/>
    </row>
    <row r="2" spans="1:15" x14ac:dyDescent="0.25">
      <c r="A2" s="31" t="s">
        <v>190</v>
      </c>
      <c r="B2" s="31" t="s">
        <v>156</v>
      </c>
      <c r="C2" s="31" t="s">
        <v>193</v>
      </c>
      <c r="D2" s="31" t="s">
        <v>194</v>
      </c>
      <c r="E2" s="31" t="s">
        <v>195</v>
      </c>
      <c r="F2" s="31" t="s">
        <v>196</v>
      </c>
      <c r="G2" s="31" t="s">
        <v>197</v>
      </c>
      <c r="H2" s="31" t="s">
        <v>198</v>
      </c>
      <c r="I2" s="31" t="s">
        <v>199</v>
      </c>
      <c r="J2" s="31" t="s">
        <v>200</v>
      </c>
      <c r="K2" s="31" t="s">
        <v>201</v>
      </c>
      <c r="L2" s="31" t="s">
        <v>202</v>
      </c>
      <c r="M2" s="31" t="s">
        <v>203</v>
      </c>
      <c r="N2" s="31" t="s">
        <v>204</v>
      </c>
      <c r="O2" s="31" t="s">
        <v>205</v>
      </c>
    </row>
    <row r="3" spans="1:15" x14ac:dyDescent="0.25">
      <c r="A3" s="85" t="s">
        <v>82</v>
      </c>
      <c r="B3" s="20">
        <v>116.72999999999998</v>
      </c>
      <c r="C3" s="95">
        <v>287781.12000000005</v>
      </c>
      <c r="D3" s="95">
        <v>473122</v>
      </c>
      <c r="E3" s="95">
        <v>385560</v>
      </c>
      <c r="F3" s="95">
        <v>439071.27500000002</v>
      </c>
      <c r="G3" s="95">
        <v>450261.09124999994</v>
      </c>
      <c r="H3" s="95">
        <v>450261.09124999994</v>
      </c>
      <c r="I3" s="95">
        <v>450261.09124999994</v>
      </c>
      <c r="J3" s="95">
        <v>450261.09124999994</v>
      </c>
      <c r="K3" s="95">
        <v>450261.09124999994</v>
      </c>
      <c r="L3" s="95">
        <v>450261.09124999994</v>
      </c>
      <c r="M3" s="95">
        <v>450261.09124999994</v>
      </c>
      <c r="N3" s="95">
        <v>450261.09124999994</v>
      </c>
      <c r="O3" s="95">
        <v>450261.09124999994</v>
      </c>
    </row>
    <row r="4" spans="1:15" x14ac:dyDescent="0.25">
      <c r="A4" s="85" t="s">
        <v>186</v>
      </c>
      <c r="B4" s="20">
        <v>17.259999999999998</v>
      </c>
      <c r="C4" s="95">
        <v>24987.487499999999</v>
      </c>
      <c r="D4" s="95">
        <v>57727</v>
      </c>
      <c r="E4" s="95">
        <v>35067</v>
      </c>
      <c r="F4" s="95">
        <v>51036.7</v>
      </c>
      <c r="G4" s="95">
        <v>56140.37000000001</v>
      </c>
      <c r="H4" s="95">
        <v>61754.407000000007</v>
      </c>
      <c r="I4" s="95">
        <v>67929.847700000013</v>
      </c>
      <c r="J4" s="95">
        <v>72835.973595000018</v>
      </c>
      <c r="K4" s="95">
        <v>72835.973595000018</v>
      </c>
      <c r="L4" s="95">
        <v>72835.973595000018</v>
      </c>
      <c r="M4" s="95">
        <v>72835.973595000018</v>
      </c>
      <c r="N4" s="95">
        <v>72835.973595000018</v>
      </c>
      <c r="O4" s="95">
        <v>72835.973595000018</v>
      </c>
    </row>
    <row r="5" spans="1:15" x14ac:dyDescent="0.25">
      <c r="A5" s="85" t="s">
        <v>145</v>
      </c>
      <c r="B5" s="20">
        <v>12</v>
      </c>
      <c r="C5" s="95">
        <v>4666.6125000000002</v>
      </c>
      <c r="D5" s="95">
        <v>10736</v>
      </c>
      <c r="E5" s="95">
        <v>24896</v>
      </c>
      <c r="F5" s="95">
        <v>37344</v>
      </c>
      <c r="G5" s="95">
        <v>41078.400000000001</v>
      </c>
      <c r="H5" s="95">
        <v>45186.240000000005</v>
      </c>
      <c r="I5" s="95">
        <v>49704.864000000009</v>
      </c>
      <c r="J5" s="95">
        <v>54675.350400000018</v>
      </c>
      <c r="K5" s="95">
        <v>60142.885440000027</v>
      </c>
      <c r="L5" s="95">
        <v>66157.173984000037</v>
      </c>
      <c r="M5" s="95">
        <v>72772.891382400048</v>
      </c>
      <c r="N5" s="95">
        <v>72772.891382400048</v>
      </c>
      <c r="O5" s="95">
        <v>72772.891382400048</v>
      </c>
    </row>
    <row r="6" spans="1:15" x14ac:dyDescent="0.25">
      <c r="A6" s="85" t="s">
        <v>140</v>
      </c>
      <c r="B6" s="20">
        <v>9</v>
      </c>
      <c r="C6" s="95">
        <v>4843.8</v>
      </c>
      <c r="D6" s="95">
        <v>16942</v>
      </c>
      <c r="E6" s="95">
        <v>12481</v>
      </c>
      <c r="F6" s="95">
        <v>19549.399999999998</v>
      </c>
      <c r="G6" s="95">
        <v>25625.679999999997</v>
      </c>
      <c r="H6" s="95">
        <v>30750.815999999995</v>
      </c>
      <c r="I6" s="95">
        <v>36900.979199999994</v>
      </c>
      <c r="J6" s="95">
        <v>44281.175039999987</v>
      </c>
      <c r="K6" s="95">
        <v>53137.410047999983</v>
      </c>
      <c r="L6" s="95">
        <v>55383.533567999984</v>
      </c>
      <c r="M6" s="95">
        <v>58078.881791999986</v>
      </c>
      <c r="N6" s="95">
        <v>58078.881791999986</v>
      </c>
      <c r="O6" s="95">
        <v>58078.881791999986</v>
      </c>
    </row>
    <row r="7" spans="1:15" x14ac:dyDescent="0.25">
      <c r="A7" s="85" t="s">
        <v>191</v>
      </c>
      <c r="B7" s="20"/>
      <c r="C7" s="95"/>
      <c r="D7" s="95"/>
      <c r="E7" s="95"/>
      <c r="F7" s="95"/>
      <c r="G7" s="95"/>
      <c r="H7" s="95"/>
      <c r="I7" s="95"/>
      <c r="J7" s="95"/>
      <c r="K7" s="95"/>
      <c r="L7" s="95"/>
      <c r="M7" s="95"/>
      <c r="N7" s="95"/>
      <c r="O7" s="95"/>
    </row>
    <row r="8" spans="1:15" x14ac:dyDescent="0.25">
      <c r="A8" s="85" t="s">
        <v>192</v>
      </c>
      <c r="B8" s="20">
        <v>154.98999999999998</v>
      </c>
      <c r="C8" s="95">
        <v>322279.02</v>
      </c>
      <c r="D8" s="95">
        <v>558527</v>
      </c>
      <c r="E8" s="95">
        <v>458004</v>
      </c>
      <c r="F8" s="95">
        <v>547001.37500000012</v>
      </c>
      <c r="G8" s="95">
        <v>573105.54125000001</v>
      </c>
      <c r="H8" s="95">
        <v>587952.55424999993</v>
      </c>
      <c r="I8" s="95">
        <v>604796.78214999998</v>
      </c>
      <c r="J8" s="95">
        <v>622053.59028499993</v>
      </c>
      <c r="K8" s="95">
        <v>636377.36033299984</v>
      </c>
      <c r="L8" s="95">
        <v>644637.77239699988</v>
      </c>
      <c r="M8" s="95">
        <v>653948.83801940002</v>
      </c>
      <c r="N8" s="95">
        <v>653948.83801940002</v>
      </c>
      <c r="O8" s="95">
        <v>653948.83801940002</v>
      </c>
    </row>
    <row r="9" spans="1:15" ht="15" hidden="1" customHeight="1" x14ac:dyDescent="0.25">
      <c r="A9" s="88" t="s">
        <v>190</v>
      </c>
      <c r="B9" s="88" t="s">
        <v>156</v>
      </c>
      <c r="C9" s="88" t="s">
        <v>193</v>
      </c>
      <c r="D9" s="88" t="s">
        <v>194</v>
      </c>
      <c r="E9" s="88" t="s">
        <v>195</v>
      </c>
      <c r="F9" s="88" t="s">
        <v>196</v>
      </c>
      <c r="G9" s="88" t="s">
        <v>197</v>
      </c>
      <c r="H9" s="88" t="s">
        <v>198</v>
      </c>
      <c r="I9" s="88" t="s">
        <v>199</v>
      </c>
      <c r="J9" s="88" t="s">
        <v>200</v>
      </c>
      <c r="K9" s="88" t="s">
        <v>201</v>
      </c>
      <c r="L9" s="88" t="s">
        <v>202</v>
      </c>
      <c r="M9" s="88" t="s">
        <v>203</v>
      </c>
      <c r="N9" s="88" t="s">
        <v>204</v>
      </c>
      <c r="O9" s="88" t="s">
        <v>205</v>
      </c>
    </row>
    <row r="10" spans="1:15" ht="15" hidden="1" customHeight="1" x14ac:dyDescent="0.25">
      <c r="A10" s="85" t="s">
        <v>82</v>
      </c>
      <c r="B10" s="20">
        <v>116.72999999999998</v>
      </c>
      <c r="C10" s="95">
        <v>287781.12000000005</v>
      </c>
      <c r="D10" s="95">
        <v>473122</v>
      </c>
      <c r="E10" s="95">
        <v>385560</v>
      </c>
      <c r="F10" s="95">
        <v>439071.27500000002</v>
      </c>
      <c r="G10" s="95">
        <v>450261.09124999994</v>
      </c>
      <c r="H10" s="95">
        <v>450261.09124999994</v>
      </c>
      <c r="I10" s="95">
        <v>450261.09124999994</v>
      </c>
      <c r="J10" s="95">
        <v>450261.09124999994</v>
      </c>
      <c r="K10" s="95">
        <v>450261.09124999994</v>
      </c>
      <c r="L10" s="95">
        <v>450261.09124999994</v>
      </c>
      <c r="M10" s="95">
        <v>450261.09124999994</v>
      </c>
      <c r="N10" s="95">
        <v>450261.09124999994</v>
      </c>
      <c r="O10" s="95">
        <v>450261.09124999994</v>
      </c>
    </row>
    <row r="11" spans="1:15" ht="15" hidden="1" customHeight="1" x14ac:dyDescent="0.25">
      <c r="A11" s="85" t="s">
        <v>186</v>
      </c>
      <c r="B11" s="20">
        <v>17.259999999999998</v>
      </c>
      <c r="C11" s="95">
        <v>24987.487499999999</v>
      </c>
      <c r="D11" s="95">
        <v>57727</v>
      </c>
      <c r="E11" s="95">
        <v>35067</v>
      </c>
      <c r="F11" s="95">
        <v>51036.7</v>
      </c>
      <c r="G11" s="95">
        <v>56140.37000000001</v>
      </c>
      <c r="H11" s="95">
        <v>61754.407000000007</v>
      </c>
      <c r="I11" s="95">
        <v>67929.847700000013</v>
      </c>
      <c r="J11" s="95">
        <v>72835.973595000018</v>
      </c>
      <c r="K11" s="95">
        <v>72835.973595000018</v>
      </c>
      <c r="L11" s="95">
        <v>72835.973595000018</v>
      </c>
      <c r="M11" s="95">
        <v>72835.973595000018</v>
      </c>
      <c r="N11" s="95">
        <v>72835.973595000018</v>
      </c>
      <c r="O11" s="95">
        <v>72835.973595000018</v>
      </c>
    </row>
    <row r="12" spans="1:15" hidden="1" x14ac:dyDescent="0.25">
      <c r="A12" s="85" t="s">
        <v>145</v>
      </c>
      <c r="B12" s="20">
        <v>12</v>
      </c>
      <c r="C12" s="95">
        <v>4666.6125000000002</v>
      </c>
      <c r="D12" s="95">
        <v>10736</v>
      </c>
      <c r="E12" s="95">
        <v>24896</v>
      </c>
      <c r="F12" s="95">
        <v>37344</v>
      </c>
      <c r="G12" s="95">
        <v>41078.400000000001</v>
      </c>
      <c r="H12" s="95">
        <v>45186.240000000005</v>
      </c>
      <c r="I12" s="95">
        <v>49704.864000000009</v>
      </c>
      <c r="J12" s="95">
        <v>54675.350400000018</v>
      </c>
      <c r="K12" s="95">
        <v>60142.885440000027</v>
      </c>
      <c r="L12" s="95">
        <v>66157.173984000037</v>
      </c>
      <c r="M12" s="95">
        <v>72772.891382400048</v>
      </c>
      <c r="N12" s="95">
        <v>72772.891382400048</v>
      </c>
      <c r="O12" s="95">
        <v>72772.891382400048</v>
      </c>
    </row>
    <row r="13" spans="1:15" hidden="1" x14ac:dyDescent="0.25">
      <c r="A13" s="85" t="s">
        <v>140</v>
      </c>
      <c r="B13" s="20">
        <v>9</v>
      </c>
      <c r="C13" s="95">
        <v>4843.8</v>
      </c>
      <c r="D13" s="95">
        <v>16942</v>
      </c>
      <c r="E13" s="95">
        <v>12481</v>
      </c>
      <c r="F13" s="95">
        <v>19549.399999999998</v>
      </c>
      <c r="G13" s="95">
        <v>25625.679999999997</v>
      </c>
      <c r="H13" s="95">
        <v>30750.815999999995</v>
      </c>
      <c r="I13" s="95">
        <v>36900.979199999994</v>
      </c>
      <c r="J13" s="95">
        <v>44281.175039999987</v>
      </c>
      <c r="K13" s="95">
        <v>53137.410047999983</v>
      </c>
      <c r="L13" s="95">
        <v>55383.533567999984</v>
      </c>
      <c r="M13" s="95">
        <v>58078.881791999986</v>
      </c>
      <c r="N13" s="95">
        <v>58078.881791999986</v>
      </c>
      <c r="O13" s="95">
        <v>58078.881791999986</v>
      </c>
    </row>
    <row r="14" spans="1:15" x14ac:dyDescent="0.25">
      <c r="A14" s="85"/>
      <c r="B14" s="20"/>
      <c r="C14" s="95"/>
      <c r="D14" s="95"/>
      <c r="E14" s="95"/>
      <c r="F14" s="95"/>
      <c r="G14" s="95"/>
      <c r="H14" s="95"/>
      <c r="I14" s="95"/>
      <c r="J14" s="95"/>
      <c r="K14" s="95"/>
      <c r="L14" s="95"/>
      <c r="M14" s="95"/>
      <c r="N14" s="95"/>
      <c r="O14" s="95"/>
    </row>
    <row r="15" spans="1:15" x14ac:dyDescent="0.25">
      <c r="A15" s="88" t="s">
        <v>190</v>
      </c>
      <c r="B15" s="88" t="s">
        <v>156</v>
      </c>
      <c r="C15" s="89" t="s">
        <v>242</v>
      </c>
      <c r="D15" s="89" t="s">
        <v>243</v>
      </c>
      <c r="E15" s="89" t="s">
        <v>244</v>
      </c>
      <c r="F15" s="89" t="s">
        <v>245</v>
      </c>
      <c r="G15" s="89" t="s">
        <v>246</v>
      </c>
      <c r="H15" s="89" t="s">
        <v>247</v>
      </c>
      <c r="I15" s="89" t="s">
        <v>248</v>
      </c>
      <c r="J15" s="89" t="s">
        <v>249</v>
      </c>
      <c r="K15" s="89" t="s">
        <v>250</v>
      </c>
      <c r="L15" s="89" t="s">
        <v>251</v>
      </c>
      <c r="M15" s="89" t="s">
        <v>252</v>
      </c>
      <c r="N15" s="89" t="s">
        <v>253</v>
      </c>
      <c r="O15" s="89" t="s">
        <v>254</v>
      </c>
    </row>
    <row r="16" spans="1:15" x14ac:dyDescent="0.25">
      <c r="A16" s="85" t="s">
        <v>82</v>
      </c>
      <c r="B16" s="20">
        <v>116.72999999999998</v>
      </c>
      <c r="C16" s="95">
        <f>C10/$B10</f>
        <v>2465.3569776407103</v>
      </c>
      <c r="D16" s="95">
        <f t="shared" ref="D16:O16" si="0">D10/$B10</f>
        <v>4053.1311573717135</v>
      </c>
      <c r="E16" s="95">
        <f t="shared" si="0"/>
        <v>3303.006939090209</v>
      </c>
      <c r="F16" s="95">
        <f t="shared" si="0"/>
        <v>3761.426154373341</v>
      </c>
      <c r="G16" s="95">
        <f t="shared" si="0"/>
        <v>3857.2868264370773</v>
      </c>
      <c r="H16" s="95">
        <f t="shared" si="0"/>
        <v>3857.2868264370773</v>
      </c>
      <c r="I16" s="95">
        <f t="shared" si="0"/>
        <v>3857.2868264370773</v>
      </c>
      <c r="J16" s="95">
        <f t="shared" si="0"/>
        <v>3857.2868264370773</v>
      </c>
      <c r="K16" s="95">
        <f t="shared" si="0"/>
        <v>3857.2868264370773</v>
      </c>
      <c r="L16" s="95">
        <f t="shared" si="0"/>
        <v>3857.2868264370773</v>
      </c>
      <c r="M16" s="95">
        <f t="shared" si="0"/>
        <v>3857.2868264370773</v>
      </c>
      <c r="N16" s="95">
        <f t="shared" si="0"/>
        <v>3857.2868264370773</v>
      </c>
      <c r="O16" s="95">
        <f t="shared" si="0"/>
        <v>3857.2868264370773</v>
      </c>
    </row>
    <row r="17" spans="1:15" x14ac:dyDescent="0.25">
      <c r="A17" s="85" t="s">
        <v>186</v>
      </c>
      <c r="B17" s="20">
        <v>17.259999999999998</v>
      </c>
      <c r="C17" s="95">
        <f>C11/$B11</f>
        <v>1447.7107473928158</v>
      </c>
      <c r="D17" s="95">
        <f t="shared" ref="D17:O17" si="1">D11/$B11</f>
        <v>3344.5538818076479</v>
      </c>
      <c r="E17" s="95">
        <f t="shared" si="1"/>
        <v>2031.6917728852841</v>
      </c>
      <c r="F17" s="95">
        <f t="shared" si="1"/>
        <v>2956.9351100811127</v>
      </c>
      <c r="G17" s="95">
        <f t="shared" si="1"/>
        <v>3252.6286210892245</v>
      </c>
      <c r="H17" s="95">
        <f t="shared" si="1"/>
        <v>3577.8914831981469</v>
      </c>
      <c r="I17" s="95">
        <f t="shared" si="1"/>
        <v>3935.680631517962</v>
      </c>
      <c r="J17" s="95">
        <f t="shared" si="1"/>
        <v>4219.9289452491321</v>
      </c>
      <c r="K17" s="95">
        <f t="shared" si="1"/>
        <v>4219.9289452491321</v>
      </c>
      <c r="L17" s="95">
        <f t="shared" si="1"/>
        <v>4219.9289452491321</v>
      </c>
      <c r="M17" s="95">
        <f t="shared" si="1"/>
        <v>4219.9289452491321</v>
      </c>
      <c r="N17" s="95">
        <f t="shared" si="1"/>
        <v>4219.9289452491321</v>
      </c>
      <c r="O17" s="95">
        <f t="shared" si="1"/>
        <v>4219.9289452491321</v>
      </c>
    </row>
    <row r="18" spans="1:15" x14ac:dyDescent="0.25">
      <c r="A18" s="85" t="s">
        <v>145</v>
      </c>
      <c r="B18" s="20">
        <v>12</v>
      </c>
      <c r="C18" s="95">
        <f t="shared" ref="C18:O18" si="2">C12/$B12</f>
        <v>388.88437500000003</v>
      </c>
      <c r="D18" s="95">
        <f>D12/$B12</f>
        <v>894.66666666666663</v>
      </c>
      <c r="E18" s="95">
        <f t="shared" si="2"/>
        <v>2074.6666666666665</v>
      </c>
      <c r="F18" s="95">
        <f t="shared" si="2"/>
        <v>3112</v>
      </c>
      <c r="G18" s="95">
        <f t="shared" si="2"/>
        <v>3423.2000000000003</v>
      </c>
      <c r="H18" s="95">
        <f t="shared" si="2"/>
        <v>3765.5200000000004</v>
      </c>
      <c r="I18" s="95">
        <f t="shared" si="2"/>
        <v>4142.072000000001</v>
      </c>
      <c r="J18" s="95">
        <f t="shared" si="2"/>
        <v>4556.2792000000018</v>
      </c>
      <c r="K18" s="95">
        <f t="shared" si="2"/>
        <v>5011.9071200000026</v>
      </c>
      <c r="L18" s="95">
        <f t="shared" si="2"/>
        <v>5513.0978320000031</v>
      </c>
      <c r="M18" s="95">
        <f t="shared" si="2"/>
        <v>6064.4076152000043</v>
      </c>
      <c r="N18" s="95">
        <f t="shared" si="2"/>
        <v>6064.4076152000043</v>
      </c>
      <c r="O18" s="95">
        <f t="shared" si="2"/>
        <v>6064.4076152000043</v>
      </c>
    </row>
    <row r="19" spans="1:15" x14ac:dyDescent="0.25">
      <c r="A19" s="85" t="s">
        <v>140</v>
      </c>
      <c r="B19" s="20">
        <v>9</v>
      </c>
      <c r="C19" s="95">
        <f t="shared" ref="C19:O19" si="3">C13/$B13</f>
        <v>538.20000000000005</v>
      </c>
      <c r="D19" s="95">
        <f t="shared" si="3"/>
        <v>1882.4444444444443</v>
      </c>
      <c r="E19" s="95">
        <f t="shared" si="3"/>
        <v>1386.7777777777778</v>
      </c>
      <c r="F19" s="95">
        <f t="shared" si="3"/>
        <v>2172.1555555555551</v>
      </c>
      <c r="G19" s="95">
        <f t="shared" si="3"/>
        <v>2847.2977777777774</v>
      </c>
      <c r="H19" s="95">
        <f t="shared" si="3"/>
        <v>3416.757333333333</v>
      </c>
      <c r="I19" s="95">
        <f t="shared" si="3"/>
        <v>4100.1087999999991</v>
      </c>
      <c r="J19" s="95">
        <f t="shared" si="3"/>
        <v>4920.1305599999987</v>
      </c>
      <c r="K19" s="95">
        <f t="shared" si="3"/>
        <v>5904.1566719999983</v>
      </c>
      <c r="L19" s="95">
        <f t="shared" si="3"/>
        <v>6153.725951999998</v>
      </c>
      <c r="M19" s="95">
        <f t="shared" si="3"/>
        <v>6453.2090879999987</v>
      </c>
      <c r="N19" s="95">
        <f t="shared" si="3"/>
        <v>6453.2090879999987</v>
      </c>
      <c r="O19" s="95">
        <f t="shared" si="3"/>
        <v>6453.2090879999987</v>
      </c>
    </row>
    <row r="20" spans="1:15" x14ac:dyDescent="0.25">
      <c r="A20" s="85" t="s">
        <v>256</v>
      </c>
      <c r="B20" s="20"/>
      <c r="C20" s="95">
        <f>AVERAGE(C16:C19)</f>
        <v>1210.0380250083815</v>
      </c>
      <c r="D20" s="95">
        <f t="shared" ref="D20:O20" si="4">AVERAGE(D16:D19)</f>
        <v>2543.6990375726182</v>
      </c>
      <c r="E20" s="95">
        <f t="shared" si="4"/>
        <v>2199.0357891049844</v>
      </c>
      <c r="F20" s="95">
        <f t="shared" si="4"/>
        <v>3000.6292050025022</v>
      </c>
      <c r="G20" s="95">
        <f t="shared" si="4"/>
        <v>3345.1033063260202</v>
      </c>
      <c r="H20" s="95">
        <f t="shared" si="4"/>
        <v>3654.3639107421395</v>
      </c>
      <c r="I20" s="95">
        <f t="shared" si="4"/>
        <v>4008.7870644887598</v>
      </c>
      <c r="J20" s="95">
        <f t="shared" si="4"/>
        <v>4388.406382921552</v>
      </c>
      <c r="K20" s="95">
        <f t="shared" si="4"/>
        <v>4748.3198909215525</v>
      </c>
      <c r="L20" s="95">
        <f t="shared" si="4"/>
        <v>4936.0098889215524</v>
      </c>
      <c r="M20" s="95">
        <f t="shared" si="4"/>
        <v>5148.7081187215535</v>
      </c>
      <c r="N20" s="95">
        <f t="shared" si="4"/>
        <v>5148.7081187215535</v>
      </c>
      <c r="O20" s="95">
        <f t="shared" si="4"/>
        <v>5148.7081187215535</v>
      </c>
    </row>
    <row r="22" spans="1:15" ht="36" customHeight="1" x14ac:dyDescent="0.25">
      <c r="A22" s="129" t="s">
        <v>262</v>
      </c>
      <c r="B22" s="129"/>
      <c r="C22" s="129"/>
      <c r="D22" s="129"/>
      <c r="E22" s="129"/>
      <c r="F22" s="129"/>
    </row>
    <row r="23" spans="1:15" s="20" customFormat="1" ht="11.25" x14ac:dyDescent="0.2">
      <c r="B23" s="90" t="s">
        <v>245</v>
      </c>
      <c r="C23" s="90" t="s">
        <v>246</v>
      </c>
      <c r="D23" s="90" t="s">
        <v>247</v>
      </c>
      <c r="E23" s="90" t="s">
        <v>248</v>
      </c>
      <c r="F23" s="90" t="s">
        <v>249</v>
      </c>
    </row>
    <row r="24" spans="1:15" s="20" customFormat="1" ht="11.25" x14ac:dyDescent="0.2">
      <c r="A24" s="91">
        <v>788</v>
      </c>
      <c r="B24" s="27">
        <v>2010.6542056074763</v>
      </c>
      <c r="C24" s="27">
        <v>2010.6542056074763</v>
      </c>
      <c r="D24" s="27">
        <v>2010.6542056074763</v>
      </c>
      <c r="E24" s="27">
        <v>2010.6542056074763</v>
      </c>
      <c r="F24" s="27">
        <v>2010.6542056074763</v>
      </c>
    </row>
    <row r="25" spans="1:15" s="20" customFormat="1" ht="11.25" x14ac:dyDescent="0.2">
      <c r="A25" s="91">
        <v>814</v>
      </c>
      <c r="B25" s="27">
        <v>2765.5493365714287</v>
      </c>
      <c r="C25" s="27">
        <v>2991.1328416571432</v>
      </c>
      <c r="D25" s="27">
        <v>3239.2746972514287</v>
      </c>
      <c r="E25" s="27">
        <v>3512.2307384051437</v>
      </c>
      <c r="F25" s="27">
        <v>3812.4823836742303</v>
      </c>
    </row>
    <row r="26" spans="1:15" s="20" customFormat="1" ht="11.25" x14ac:dyDescent="0.2">
      <c r="A26" s="91">
        <v>816</v>
      </c>
      <c r="B26" s="27">
        <v>3416.9764453968255</v>
      </c>
      <c r="C26" s="27">
        <v>3630.1582169206349</v>
      </c>
      <c r="D26" s="27">
        <v>3864.6581655968253</v>
      </c>
      <c r="E26" s="27">
        <v>4122.6081091406359</v>
      </c>
      <c r="F26" s="27">
        <v>4406.3530470388268</v>
      </c>
    </row>
    <row r="27" spans="1:15" s="20" customFormat="1" ht="11.25" x14ac:dyDescent="0.2">
      <c r="A27" s="91" t="s">
        <v>257</v>
      </c>
      <c r="B27" s="27">
        <v>2265.9780000000001</v>
      </c>
      <c r="C27" s="27">
        <v>2492.5758000000001</v>
      </c>
      <c r="D27" s="27">
        <v>2741.8333800000005</v>
      </c>
      <c r="E27" s="27">
        <v>2741.8333800000005</v>
      </c>
      <c r="F27" s="27">
        <v>2741.8333800000005</v>
      </c>
    </row>
    <row r="28" spans="1:15" s="20" customFormat="1" ht="11.25" x14ac:dyDescent="0.2">
      <c r="A28" s="91" t="s">
        <v>145</v>
      </c>
      <c r="B28" s="27">
        <v>2152.2816051038576</v>
      </c>
      <c r="C28" s="27">
        <v>2346.0260860890207</v>
      </c>
      <c r="D28" s="27">
        <v>2559.1450151727004</v>
      </c>
      <c r="E28" s="27">
        <v>2676.4336502055789</v>
      </c>
      <c r="F28" s="27">
        <v>2805.4511487417453</v>
      </c>
    </row>
    <row r="29" spans="1:15" s="20" customFormat="1" ht="11.25" x14ac:dyDescent="0.2">
      <c r="A29" s="91" t="s">
        <v>258</v>
      </c>
      <c r="B29" s="27">
        <v>3355.9821385054934</v>
      </c>
      <c r="C29" s="27">
        <v>3660.2368834483505</v>
      </c>
      <c r="D29" s="27">
        <v>3690.4499309940647</v>
      </c>
      <c r="E29" s="27">
        <v>3690.4499309940647</v>
      </c>
      <c r="F29" s="27">
        <v>3690.4499309940647</v>
      </c>
    </row>
    <row r="30" spans="1:15" s="20" customFormat="1" ht="11.25" x14ac:dyDescent="0.2">
      <c r="A30" s="91" t="s">
        <v>259</v>
      </c>
      <c r="B30" s="27">
        <v>3000</v>
      </c>
      <c r="C30" s="27">
        <v>3000</v>
      </c>
      <c r="D30" s="27">
        <v>3000</v>
      </c>
      <c r="E30" s="27">
        <v>3000</v>
      </c>
      <c r="F30" s="27">
        <v>3000</v>
      </c>
    </row>
    <row r="31" spans="1:15" s="20" customFormat="1" ht="11.25" x14ac:dyDescent="0.2">
      <c r="A31" s="91" t="s">
        <v>260</v>
      </c>
      <c r="B31" s="27">
        <v>2200</v>
      </c>
      <c r="C31" s="27">
        <v>2200</v>
      </c>
      <c r="D31" s="27">
        <v>2200</v>
      </c>
      <c r="E31" s="27">
        <v>2200</v>
      </c>
      <c r="F31" s="27">
        <v>2200</v>
      </c>
    </row>
    <row r="32" spans="1:15" s="20" customFormat="1" ht="11.25" x14ac:dyDescent="0.2">
      <c r="A32" s="91" t="s">
        <v>255</v>
      </c>
      <c r="B32" s="92">
        <v>2645.9277163981351</v>
      </c>
      <c r="C32" s="92">
        <v>2791.3480042153283</v>
      </c>
      <c r="D32" s="92">
        <v>2913.251924327812</v>
      </c>
      <c r="E32" s="92">
        <v>2994.2762517941123</v>
      </c>
      <c r="F32" s="92">
        <v>3083.4030120070429</v>
      </c>
    </row>
    <row r="33" spans="1:7" s="20" customFormat="1" ht="11.25" x14ac:dyDescent="0.2"/>
    <row r="34" spans="1:7" s="20" customFormat="1" ht="11.25" x14ac:dyDescent="0.2">
      <c r="A34" s="93" t="s">
        <v>190</v>
      </c>
      <c r="B34" s="93" t="s">
        <v>263</v>
      </c>
      <c r="C34" s="20" t="s">
        <v>196</v>
      </c>
      <c r="D34" s="20" t="s">
        <v>197</v>
      </c>
      <c r="E34" s="20" t="s">
        <v>198</v>
      </c>
      <c r="F34" s="20" t="s">
        <v>199</v>
      </c>
      <c r="G34" s="20" t="s">
        <v>200</v>
      </c>
    </row>
    <row r="35" spans="1:7" s="20" customFormat="1" ht="11.25" x14ac:dyDescent="0.2">
      <c r="A35" s="85">
        <v>788</v>
      </c>
      <c r="B35" s="20">
        <v>10.700000000000001</v>
      </c>
      <c r="C35" s="94">
        <v>21514</v>
      </c>
      <c r="D35" s="94">
        <v>21514</v>
      </c>
      <c r="E35" s="94">
        <v>21514</v>
      </c>
      <c r="F35" s="94">
        <v>21514</v>
      </c>
      <c r="G35" s="94">
        <v>21514</v>
      </c>
    </row>
    <row r="36" spans="1:7" s="20" customFormat="1" ht="11.25" x14ac:dyDescent="0.2">
      <c r="A36" s="85">
        <v>814</v>
      </c>
      <c r="B36" s="20">
        <v>21</v>
      </c>
      <c r="C36" s="94">
        <v>58076.536068000001</v>
      </c>
      <c r="D36" s="94">
        <v>62813.789674800006</v>
      </c>
      <c r="E36" s="94">
        <v>68024.768642280003</v>
      </c>
      <c r="F36" s="94">
        <v>73756.84550650802</v>
      </c>
      <c r="G36" s="94">
        <v>80062.130057158836</v>
      </c>
    </row>
    <row r="37" spans="1:7" s="20" customFormat="1" ht="11.25" x14ac:dyDescent="0.2">
      <c r="A37" s="85">
        <v>816</v>
      </c>
      <c r="B37" s="20">
        <v>25.200000000000003</v>
      </c>
      <c r="C37" s="94">
        <v>86107.806424000009</v>
      </c>
      <c r="D37" s="94">
        <v>91479.987066400005</v>
      </c>
      <c r="E37" s="94">
        <v>97389.385773040005</v>
      </c>
      <c r="F37" s="94">
        <v>103889.72435034403</v>
      </c>
      <c r="G37" s="94">
        <v>111040.09678537844</v>
      </c>
    </row>
    <row r="38" spans="1:7" s="20" customFormat="1" ht="11.25" x14ac:dyDescent="0.2">
      <c r="A38" s="85" t="s">
        <v>257</v>
      </c>
      <c r="B38" s="20">
        <v>1.4</v>
      </c>
      <c r="C38" s="94">
        <v>3172.3692000000001</v>
      </c>
      <c r="D38" s="94">
        <v>3489.6061199999999</v>
      </c>
      <c r="E38" s="94">
        <v>3838.5667320000002</v>
      </c>
      <c r="F38" s="94">
        <v>3838.5667320000002</v>
      </c>
      <c r="G38" s="94">
        <v>3838.5667320000002</v>
      </c>
    </row>
    <row r="39" spans="1:7" s="20" customFormat="1" ht="11.25" x14ac:dyDescent="0.2">
      <c r="A39" s="85" t="s">
        <v>145</v>
      </c>
      <c r="B39" s="20">
        <v>16.850000000000001</v>
      </c>
      <c r="C39" s="94">
        <v>36265.945046000001</v>
      </c>
      <c r="D39" s="94">
        <v>39530.539550600006</v>
      </c>
      <c r="E39" s="94">
        <v>43121.593505660006</v>
      </c>
      <c r="F39" s="94">
        <v>45097.907005964007</v>
      </c>
      <c r="G39" s="94">
        <v>47271.85185629841</v>
      </c>
    </row>
    <row r="40" spans="1:7" s="20" customFormat="1" ht="11.25" x14ac:dyDescent="0.2">
      <c r="A40" s="85" t="s">
        <v>258</v>
      </c>
      <c r="B40" s="20">
        <v>45.500000000000007</v>
      </c>
      <c r="C40" s="94">
        <v>152697.18730199998</v>
      </c>
      <c r="D40" s="94">
        <v>166540.77819689998</v>
      </c>
      <c r="E40" s="94">
        <v>167915.47186022997</v>
      </c>
      <c r="F40" s="94">
        <v>167915.47186022997</v>
      </c>
      <c r="G40" s="94">
        <v>167915.47186022997</v>
      </c>
    </row>
    <row r="41" spans="1:7" s="20" customFormat="1" ht="11.25" x14ac:dyDescent="0.2">
      <c r="A41" s="85" t="s">
        <v>259</v>
      </c>
      <c r="B41" s="20">
        <v>1.4</v>
      </c>
      <c r="C41" s="94">
        <v>4200</v>
      </c>
      <c r="D41" s="94">
        <v>4200</v>
      </c>
      <c r="E41" s="94">
        <v>4200</v>
      </c>
      <c r="F41" s="94">
        <v>4200</v>
      </c>
      <c r="G41" s="94">
        <v>4200</v>
      </c>
    </row>
    <row r="42" spans="1:7" s="20" customFormat="1" ht="11.25" x14ac:dyDescent="0.2">
      <c r="A42" s="85" t="s">
        <v>260</v>
      </c>
      <c r="B42" s="20">
        <v>0.3</v>
      </c>
      <c r="C42" s="94">
        <v>660</v>
      </c>
      <c r="D42" s="94">
        <v>660</v>
      </c>
      <c r="E42" s="94">
        <v>660</v>
      </c>
      <c r="F42" s="94">
        <v>660</v>
      </c>
      <c r="G42" s="94">
        <v>660</v>
      </c>
    </row>
    <row r="43" spans="1:7" s="20" customFormat="1" ht="11.25" x14ac:dyDescent="0.2">
      <c r="A43" s="85" t="s">
        <v>192</v>
      </c>
      <c r="B43" s="20">
        <v>122.35000000000001</v>
      </c>
      <c r="C43" s="94">
        <v>362693.84404</v>
      </c>
      <c r="D43" s="94">
        <v>390228.70060869999</v>
      </c>
      <c r="E43" s="94">
        <v>406663.78651321004</v>
      </c>
      <c r="F43" s="94">
        <v>420872.51545504603</v>
      </c>
      <c r="G43" s="94">
        <v>436502.11729106569</v>
      </c>
    </row>
    <row r="44" spans="1:7" s="20" customFormat="1" ht="11.25" x14ac:dyDescent="0.2"/>
    <row r="45" spans="1:7" s="20" customFormat="1" ht="11.25" x14ac:dyDescent="0.2"/>
  </sheetData>
  <mergeCells count="2">
    <mergeCell ref="A1:O1"/>
    <mergeCell ref="A22:F22"/>
  </mergeCells>
  <phoneticPr fontId="3" type="noConversion"/>
  <conditionalFormatting sqref="F24:F31">
    <cfRule type="colorScale" priority="2">
      <colorScale>
        <cfvo type="min"/>
        <cfvo type="percentile" val="50"/>
        <cfvo type="max"/>
        <color rgb="FFF8696B"/>
        <color rgb="FFFFEB84"/>
        <color rgb="FF63BE7B"/>
      </colorScale>
    </cfRule>
  </conditionalFormatting>
  <conditionalFormatting sqref="J16:J19">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7B68E-0C10-43DC-85DC-E98AEBEF02A8}">
  <dimension ref="A1:C20"/>
  <sheetViews>
    <sheetView zoomScale="175" zoomScaleNormal="175" workbookViewId="0">
      <selection activeCell="B17" sqref="B17"/>
    </sheetView>
  </sheetViews>
  <sheetFormatPr defaultRowHeight="15" x14ac:dyDescent="0.25"/>
  <cols>
    <col min="1" max="1" width="39.28515625" customWidth="1"/>
    <col min="2" max="2" width="9.140625" bestFit="1" customWidth="1"/>
    <col min="3" max="3" width="8" bestFit="1" customWidth="1"/>
  </cols>
  <sheetData>
    <row r="1" spans="1:3" ht="18.75" x14ac:dyDescent="0.25">
      <c r="A1" s="129" t="s">
        <v>5</v>
      </c>
      <c r="B1" s="129"/>
      <c r="C1" s="129"/>
    </row>
    <row r="2" spans="1:3" x14ac:dyDescent="0.25">
      <c r="A2" s="1" t="s">
        <v>6</v>
      </c>
      <c r="B2" s="1" t="s">
        <v>7</v>
      </c>
    </row>
    <row r="3" spans="1:3" x14ac:dyDescent="0.25">
      <c r="A3" t="s">
        <v>65</v>
      </c>
      <c r="B3" s="3">
        <v>80000</v>
      </c>
      <c r="C3" s="2">
        <f>B3/Parameters!$B$2</f>
        <v>4166.666666666667</v>
      </c>
    </row>
    <row r="4" spans="1:3" x14ac:dyDescent="0.25">
      <c r="A4" t="s">
        <v>236</v>
      </c>
      <c r="B4" s="3">
        <f>'P&amp;L'!B47/12*10</f>
        <v>10267.469125333335</v>
      </c>
      <c r="C4" s="2">
        <f>B4/Parameters!$B$2</f>
        <v>534.76401694444451</v>
      </c>
    </row>
    <row r="5" spans="1:3" x14ac:dyDescent="0.25">
      <c r="A5" t="s">
        <v>73</v>
      </c>
      <c r="B5" s="3">
        <v>3000</v>
      </c>
      <c r="C5" s="2">
        <f>B5/Parameters!$B$2</f>
        <v>156.25</v>
      </c>
    </row>
    <row r="6" spans="1:3" x14ac:dyDescent="0.25">
      <c r="A6" t="s">
        <v>8</v>
      </c>
      <c r="B6" s="3">
        <v>0</v>
      </c>
      <c r="C6" s="2">
        <f>B6/Parameters!$B$2</f>
        <v>0</v>
      </c>
    </row>
    <row r="7" spans="1:3" x14ac:dyDescent="0.25">
      <c r="B7" s="3"/>
      <c r="C7" s="2"/>
    </row>
    <row r="8" spans="1:3" x14ac:dyDescent="0.25">
      <c r="B8" s="3"/>
      <c r="C8" s="2"/>
    </row>
    <row r="9" spans="1:3" x14ac:dyDescent="0.25">
      <c r="A9" s="1" t="s">
        <v>9</v>
      </c>
      <c r="B9" s="4">
        <f>SUM(B3:B8)</f>
        <v>93267.469125333329</v>
      </c>
      <c r="C9" s="5">
        <f>SUM(C3:C8)</f>
        <v>4857.6806836111118</v>
      </c>
    </row>
    <row r="10" spans="1:3" x14ac:dyDescent="0.25">
      <c r="B10" s="3"/>
      <c r="C10" s="2"/>
    </row>
    <row r="11" spans="1:3" x14ac:dyDescent="0.25">
      <c r="A11" t="s">
        <v>165</v>
      </c>
      <c r="B11" s="84" t="s">
        <v>170</v>
      </c>
      <c r="C11" s="2"/>
    </row>
    <row r="12" spans="1:3" x14ac:dyDescent="0.25">
      <c r="B12" s="84" t="s">
        <v>167</v>
      </c>
      <c r="C12" s="2"/>
    </row>
    <row r="13" spans="1:3" x14ac:dyDescent="0.25">
      <c r="B13" s="84" t="s">
        <v>168</v>
      </c>
      <c r="C13" s="2"/>
    </row>
    <row r="14" spans="1:3" x14ac:dyDescent="0.25">
      <c r="B14" s="84" t="s">
        <v>266</v>
      </c>
    </row>
    <row r="15" spans="1:3" x14ac:dyDescent="0.25">
      <c r="B15" s="84" t="s">
        <v>166</v>
      </c>
    </row>
    <row r="16" spans="1:3" x14ac:dyDescent="0.25">
      <c r="B16" s="84" t="s">
        <v>169</v>
      </c>
    </row>
    <row r="17" spans="1:3" x14ac:dyDescent="0.25">
      <c r="B17" s="84" t="s">
        <v>267</v>
      </c>
    </row>
    <row r="20" spans="1:3" ht="18.75" x14ac:dyDescent="0.25">
      <c r="A20" s="129"/>
      <c r="B20" s="129"/>
      <c r="C20" s="129"/>
    </row>
  </sheetData>
  <mergeCells count="2">
    <mergeCell ref="A1:C1"/>
    <mergeCell ref="A20:C20"/>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1E778-6098-41F7-9072-4A748068E756}">
  <dimension ref="A1:I76"/>
  <sheetViews>
    <sheetView zoomScale="160" zoomScaleNormal="160" workbookViewId="0">
      <selection activeCell="B49" sqref="B49"/>
    </sheetView>
  </sheetViews>
  <sheetFormatPr defaultRowHeight="11.25" outlineLevelRow="1" x14ac:dyDescent="0.2"/>
  <cols>
    <col min="1" max="1" width="29.85546875" style="20" bestFit="1" customWidth="1"/>
    <col min="2" max="2" width="10" style="20" bestFit="1" customWidth="1"/>
    <col min="3" max="3" width="10.42578125" style="20" bestFit="1" customWidth="1"/>
    <col min="4" max="7" width="9.5703125" style="20" bestFit="1" customWidth="1"/>
    <col min="8" max="16384" width="9.140625" style="20"/>
  </cols>
  <sheetData>
    <row r="1" spans="1:7" x14ac:dyDescent="0.2">
      <c r="A1" s="131" t="s">
        <v>54</v>
      </c>
      <c r="B1" s="131"/>
      <c r="C1" s="131"/>
      <c r="D1" s="131"/>
      <c r="E1" s="131"/>
      <c r="F1" s="131"/>
      <c r="G1" s="131"/>
    </row>
    <row r="2" spans="1:7" x14ac:dyDescent="0.2">
      <c r="A2" s="19" t="s">
        <v>235</v>
      </c>
      <c r="B2" s="19">
        <v>2026</v>
      </c>
      <c r="C2" s="19">
        <v>2027</v>
      </c>
      <c r="D2" s="19">
        <v>2028</v>
      </c>
      <c r="E2" s="19">
        <v>2029</v>
      </c>
      <c r="F2" s="19">
        <v>2030</v>
      </c>
      <c r="G2" s="19">
        <v>2031</v>
      </c>
    </row>
    <row r="3" spans="1:7" outlineLevel="1" x14ac:dyDescent="0.2">
      <c r="A3" s="20" t="str">
        <f>'Orchard Analysis'!A3</f>
        <v>695 Beaumont</v>
      </c>
      <c r="B3" s="27">
        <f>GETPIVOTDATA("Sum of 2026",'Orchard Analysis'!$A$2,"Cultivar","695 Beaumont")</f>
        <v>439071.27500000002</v>
      </c>
      <c r="C3" s="27">
        <f>GETPIVOTDATA("Sum of 2027",'Orchard Analysis'!$A$2,"Cultivar","695 Beaumont")</f>
        <v>450261.09124999994</v>
      </c>
      <c r="D3" s="27">
        <f>GETPIVOTDATA("Sum of 2028",'Orchard Analysis'!$A$2,"Cultivar","695 Beaumont")</f>
        <v>450261.09124999994</v>
      </c>
      <c r="E3" s="27">
        <f>GETPIVOTDATA("Sum of 2029",'Orchard Analysis'!$A$2,"Cultivar","695 Beaumont")</f>
        <v>450261.09124999994</v>
      </c>
      <c r="F3" s="27">
        <f>GETPIVOTDATA("Sum of 2030",'Orchard Analysis'!$A$2,"Cultivar","695 Beaumont")</f>
        <v>450261.09124999994</v>
      </c>
      <c r="G3" s="27">
        <f>GETPIVOTDATA("Sum of 2031",'Orchard Analysis'!$A$2,"Cultivar","695 Beaumont")</f>
        <v>450261.09124999994</v>
      </c>
    </row>
    <row r="4" spans="1:7" outlineLevel="1" x14ac:dyDescent="0.2">
      <c r="A4" s="20" t="str">
        <f>'Orchard Analysis'!A4</f>
        <v>816</v>
      </c>
      <c r="B4" s="27">
        <f>GETPIVOTDATA("Sum of 2026",'Orchard Analysis'!$A$2,"Cultivar","816")</f>
        <v>51036.7</v>
      </c>
      <c r="C4" s="27">
        <f>GETPIVOTDATA("Sum of 2027",'Orchard Analysis'!$A$2,"Cultivar","816")</f>
        <v>56140.37000000001</v>
      </c>
      <c r="D4" s="27">
        <f>GETPIVOTDATA("Sum of 2028",'Orchard Analysis'!$A$2,"Cultivar","816")</f>
        <v>61754.407000000007</v>
      </c>
      <c r="E4" s="27">
        <f>GETPIVOTDATA("Sum of 2029",'Orchard Analysis'!$A$2,"Cultivar","816")</f>
        <v>67929.847700000013</v>
      </c>
      <c r="F4" s="27">
        <f>GETPIVOTDATA("Sum of 2030",'Orchard Analysis'!$A$2,"Cultivar","816")</f>
        <v>72835.973595000018</v>
      </c>
      <c r="G4" s="27">
        <f>GETPIVOTDATA("Sum of 2031",'Orchard Analysis'!$A$2,"Cultivar","816")</f>
        <v>72835.973595000018</v>
      </c>
    </row>
    <row r="5" spans="1:7" outlineLevel="1" x14ac:dyDescent="0.2">
      <c r="A5" s="20" t="str">
        <f>'Orchard Analysis'!A5</f>
        <v>A4</v>
      </c>
      <c r="B5" s="27">
        <f>GETPIVOTDATA("Sum of 2026",'Orchard Analysis'!$A$2,"Cultivar","A4")</f>
        <v>37344</v>
      </c>
      <c r="C5" s="27">
        <f>GETPIVOTDATA("Sum of 2027",'Orchard Analysis'!$A$2,"Cultivar","A4")</f>
        <v>41078.400000000001</v>
      </c>
      <c r="D5" s="27">
        <f>GETPIVOTDATA("Sum of 2028",'Orchard Analysis'!$A$2,"Cultivar","A4")</f>
        <v>45186.240000000005</v>
      </c>
      <c r="E5" s="27">
        <f>GETPIVOTDATA("Sum of 2029",'Orchard Analysis'!$A$2,"Cultivar","A4")</f>
        <v>49704.864000000009</v>
      </c>
      <c r="F5" s="27">
        <f>GETPIVOTDATA("Sum of 2030",'Orchard Analysis'!$A$2,"Cultivar","A4")</f>
        <v>54675.350400000018</v>
      </c>
      <c r="G5" s="27">
        <f>GETPIVOTDATA("Sum of 2031",'Orchard Analysis'!$A$2,"Cultivar","A4")</f>
        <v>60142.885440000027</v>
      </c>
    </row>
    <row r="6" spans="1:7" outlineLevel="1" x14ac:dyDescent="0.2">
      <c r="A6" s="20" t="str">
        <f>'Orchard Analysis'!A6</f>
        <v>Nelmac 2</v>
      </c>
      <c r="B6" s="27">
        <f>GETPIVOTDATA("Sum of 2026",'Orchard Analysis'!$A$2,"Cultivar","Nelmac 2")</f>
        <v>19549.399999999998</v>
      </c>
      <c r="C6" s="27">
        <f>GETPIVOTDATA("Sum of 2027",'Orchard Analysis'!$A$2,"Cultivar","Nelmac 2")</f>
        <v>25625.679999999997</v>
      </c>
      <c r="D6" s="27">
        <f>GETPIVOTDATA("Sum of 2028",'Orchard Analysis'!$A$2,"Cultivar","Nelmac 2")</f>
        <v>30750.815999999995</v>
      </c>
      <c r="E6" s="27">
        <f>GETPIVOTDATA("Sum of 2029",'Orchard Analysis'!$A$2,"Cultivar","Nelmac 2")</f>
        <v>36900.979199999994</v>
      </c>
      <c r="F6" s="27">
        <f>GETPIVOTDATA("Sum of 2030",'Orchard Analysis'!$A$2,"Cultivar","Nelmac 2")</f>
        <v>44281.175039999987</v>
      </c>
      <c r="G6" s="27">
        <f>GETPIVOTDATA("Sum of 2031",'Orchard Analysis'!$A$2,"Cultivar","Nelmac 2")</f>
        <v>53137.410047999983</v>
      </c>
    </row>
    <row r="7" spans="1:7" outlineLevel="1" x14ac:dyDescent="0.2">
      <c r="A7" s="19" t="s">
        <v>206</v>
      </c>
      <c r="B7" s="86">
        <f>SUM(B3:B6)</f>
        <v>547001.37500000012</v>
      </c>
      <c r="C7" s="86">
        <f t="shared" ref="C7:G7" si="0">SUM(C3:C6)</f>
        <v>573105.54125000001</v>
      </c>
      <c r="D7" s="86">
        <f t="shared" si="0"/>
        <v>587952.55424999993</v>
      </c>
      <c r="E7" s="86">
        <f t="shared" si="0"/>
        <v>604796.78214999998</v>
      </c>
      <c r="F7" s="86">
        <f t="shared" si="0"/>
        <v>622053.59028499993</v>
      </c>
      <c r="G7" s="86">
        <f t="shared" si="0"/>
        <v>636377.36033299984</v>
      </c>
    </row>
    <row r="8" spans="1:7" outlineLevel="1" x14ac:dyDescent="0.2">
      <c r="A8" s="19"/>
      <c r="B8" s="86"/>
      <c r="C8" s="86"/>
      <c r="D8" s="86"/>
      <c r="E8" s="86"/>
      <c r="F8" s="86"/>
      <c r="G8" s="86"/>
    </row>
    <row r="9" spans="1:7" outlineLevel="1" x14ac:dyDescent="0.2">
      <c r="A9" s="19" t="s">
        <v>207</v>
      </c>
      <c r="B9" s="19"/>
      <c r="C9" s="19"/>
      <c r="D9" s="19"/>
      <c r="E9" s="19"/>
      <c r="F9" s="19"/>
      <c r="G9" s="19"/>
    </row>
    <row r="10" spans="1:7" outlineLevel="1" x14ac:dyDescent="0.2">
      <c r="A10" s="20" t="str">
        <f>A3</f>
        <v>695 Beaumont</v>
      </c>
      <c r="B10" s="21">
        <f>Parameters!B14</f>
        <v>48</v>
      </c>
      <c r="C10" s="21">
        <f>B10+B10*Parameters!$B$3</f>
        <v>49.92</v>
      </c>
      <c r="D10" s="21">
        <f>C10+C10*Parameters!$B$3</f>
        <v>51.916800000000002</v>
      </c>
      <c r="E10" s="21">
        <f>D10+D10*Parameters!$B$3</f>
        <v>53.993472000000004</v>
      </c>
      <c r="F10" s="21">
        <f>E10+E10*Parameters!$B$3</f>
        <v>56.153210880000003</v>
      </c>
      <c r="G10" s="21">
        <f>F10+F10*Parameters!$B$3</f>
        <v>58.399339315200002</v>
      </c>
    </row>
    <row r="11" spans="1:7" outlineLevel="1" x14ac:dyDescent="0.2">
      <c r="A11" s="20" t="str">
        <f>A4</f>
        <v>816</v>
      </c>
      <c r="B11" s="21">
        <f>Parameters!B15</f>
        <v>61.5</v>
      </c>
      <c r="C11" s="21">
        <f>B11+B11*Parameters!$B$3</f>
        <v>63.96</v>
      </c>
      <c r="D11" s="21">
        <f>C11+C11*Parameters!$B$3</f>
        <v>66.5184</v>
      </c>
      <c r="E11" s="21">
        <f>D11+D11*Parameters!$B$3</f>
        <v>69.179136</v>
      </c>
      <c r="F11" s="21">
        <f>E11+E11*Parameters!$B$3</f>
        <v>71.946301439999999</v>
      </c>
      <c r="G11" s="21">
        <f>F11+F11*Parameters!$B$3</f>
        <v>74.824153497599994</v>
      </c>
    </row>
    <row r="12" spans="1:7" outlineLevel="1" x14ac:dyDescent="0.2">
      <c r="A12" s="20" t="str">
        <f>A5</f>
        <v>A4</v>
      </c>
      <c r="B12" s="21">
        <f>Parameters!B16</f>
        <v>59.5</v>
      </c>
      <c r="C12" s="21">
        <f>B12+B12*Parameters!$B$3</f>
        <v>61.88</v>
      </c>
      <c r="D12" s="21">
        <f>C12+C12*Parameters!$B$3</f>
        <v>64.355199999999996</v>
      </c>
      <c r="E12" s="21">
        <f>D12+D12*Parameters!$B$3</f>
        <v>66.929407999999995</v>
      </c>
      <c r="F12" s="21">
        <f>E12+E12*Parameters!$B$3</f>
        <v>69.606584319999996</v>
      </c>
      <c r="G12" s="21">
        <f>F12+F12*Parameters!$B$3</f>
        <v>72.390847692799994</v>
      </c>
    </row>
    <row r="13" spans="1:7" outlineLevel="1" x14ac:dyDescent="0.2">
      <c r="A13" s="20" t="str">
        <f>A6</f>
        <v>Nelmac 2</v>
      </c>
      <c r="B13" s="21">
        <f>Parameters!B17</f>
        <v>49.5</v>
      </c>
      <c r="C13" s="21">
        <f>B13+B13*Parameters!$B$3</f>
        <v>51.48</v>
      </c>
      <c r="D13" s="21">
        <f>C13+C13*Parameters!$B$3</f>
        <v>53.539199999999994</v>
      </c>
      <c r="E13" s="21">
        <f>D13+D13*Parameters!$B$3</f>
        <v>55.680767999999993</v>
      </c>
      <c r="F13" s="21">
        <f>E13+E13*Parameters!$B$3</f>
        <v>57.907998719999995</v>
      </c>
      <c r="G13" s="21">
        <f>F13+F13*Parameters!$B$3</f>
        <v>60.224318668799995</v>
      </c>
    </row>
    <row r="14" spans="1:7" outlineLevel="1" x14ac:dyDescent="0.2"/>
    <row r="15" spans="1:7" outlineLevel="1" x14ac:dyDescent="0.2">
      <c r="A15" s="19" t="s">
        <v>67</v>
      </c>
    </row>
    <row r="16" spans="1:7" outlineLevel="1" x14ac:dyDescent="0.2">
      <c r="A16" s="20" t="str">
        <f>A10</f>
        <v>695 Beaumont</v>
      </c>
      <c r="B16" s="21">
        <f t="shared" ref="B16:G19" si="1">(B3*B10)/1000</f>
        <v>21075.421200000004</v>
      </c>
      <c r="C16" s="21">
        <f t="shared" si="1"/>
        <v>22477.033675199997</v>
      </c>
      <c r="D16" s="21">
        <f t="shared" si="1"/>
        <v>23376.115022207996</v>
      </c>
      <c r="E16" s="21">
        <f t="shared" si="1"/>
        <v>24311.159623096319</v>
      </c>
      <c r="F16" s="21">
        <f t="shared" si="1"/>
        <v>25283.606008020171</v>
      </c>
      <c r="G16" s="21">
        <f t="shared" si="1"/>
        <v>26294.950248340974</v>
      </c>
    </row>
    <row r="17" spans="1:9" outlineLevel="1" x14ac:dyDescent="0.2">
      <c r="A17" s="20" t="str">
        <f t="shared" ref="A17:A19" si="2">A11</f>
        <v>816</v>
      </c>
      <c r="B17" s="21">
        <f t="shared" si="1"/>
        <v>3138.7570499999997</v>
      </c>
      <c r="C17" s="21">
        <f t="shared" si="1"/>
        <v>3590.7380652000006</v>
      </c>
      <c r="D17" s="21">
        <f t="shared" si="1"/>
        <v>4107.8043465888004</v>
      </c>
      <c r="E17" s="21">
        <f t="shared" si="1"/>
        <v>4699.3281724975886</v>
      </c>
      <c r="F17" s="21">
        <f t="shared" si="1"/>
        <v>5240.2789119417521</v>
      </c>
      <c r="G17" s="21">
        <f t="shared" si="1"/>
        <v>5449.8900684194214</v>
      </c>
    </row>
    <row r="18" spans="1:9" outlineLevel="1" x14ac:dyDescent="0.2">
      <c r="A18" s="20" t="str">
        <f t="shared" si="2"/>
        <v>A4</v>
      </c>
      <c r="B18" s="21">
        <f t="shared" si="1"/>
        <v>2221.9679999999998</v>
      </c>
      <c r="C18" s="21">
        <f t="shared" si="1"/>
        <v>2541.931392</v>
      </c>
      <c r="D18" s="21">
        <f t="shared" si="1"/>
        <v>2907.9695124480004</v>
      </c>
      <c r="E18" s="21">
        <f t="shared" si="1"/>
        <v>3326.7171222405123</v>
      </c>
      <c r="F18" s="21">
        <f t="shared" si="1"/>
        <v>3805.7643878431468</v>
      </c>
      <c r="G18" s="21">
        <f t="shared" si="1"/>
        <v>4353.7944596925599</v>
      </c>
    </row>
    <row r="19" spans="1:9" outlineLevel="1" x14ac:dyDescent="0.2">
      <c r="A19" s="20" t="str">
        <f t="shared" si="2"/>
        <v>Nelmac 2</v>
      </c>
      <c r="B19" s="21">
        <f t="shared" si="1"/>
        <v>967.69529999999997</v>
      </c>
      <c r="C19" s="21">
        <f t="shared" si="1"/>
        <v>1319.2100063999999</v>
      </c>
      <c r="D19" s="21">
        <f t="shared" si="1"/>
        <v>1646.3740879871996</v>
      </c>
      <c r="E19" s="21">
        <f t="shared" si="1"/>
        <v>2054.6748618080251</v>
      </c>
      <c r="F19" s="21">
        <f t="shared" si="1"/>
        <v>2564.2342275364153</v>
      </c>
      <c r="G19" s="21">
        <f t="shared" si="1"/>
        <v>3200.1643159654459</v>
      </c>
    </row>
    <row r="20" spans="1:9" x14ac:dyDescent="0.2">
      <c r="A20" s="19" t="s">
        <v>234</v>
      </c>
      <c r="B20" s="22">
        <f>SUM(B16:B19)</f>
        <v>27403.841550000005</v>
      </c>
      <c r="C20" s="22">
        <f t="shared" ref="C20:G20" si="3">SUM(C16:C19)</f>
        <v>29928.913138799995</v>
      </c>
      <c r="D20" s="22">
        <f t="shared" si="3"/>
        <v>32038.262969231997</v>
      </c>
      <c r="E20" s="22">
        <f t="shared" si="3"/>
        <v>34391.879779642448</v>
      </c>
      <c r="F20" s="22">
        <f t="shared" si="3"/>
        <v>36893.883535341483</v>
      </c>
      <c r="G20" s="22">
        <f t="shared" si="3"/>
        <v>39298.799092418405</v>
      </c>
    </row>
    <row r="21" spans="1:9" s="19" customFormat="1" x14ac:dyDescent="0.2">
      <c r="B21" s="22"/>
      <c r="C21" s="22"/>
      <c r="D21" s="22"/>
      <c r="E21" s="22"/>
      <c r="F21" s="22"/>
      <c r="G21" s="22"/>
    </row>
    <row r="22" spans="1:9" s="19" customFormat="1" hidden="1" outlineLevel="1" x14ac:dyDescent="0.2">
      <c r="A22" s="19" t="s">
        <v>68</v>
      </c>
      <c r="B22" s="19">
        <v>2026</v>
      </c>
      <c r="C22" s="19">
        <v>2027</v>
      </c>
      <c r="D22" s="19">
        <v>2028</v>
      </c>
      <c r="E22" s="19">
        <v>2029</v>
      </c>
      <c r="F22" s="19">
        <v>2030</v>
      </c>
      <c r="G22" s="19">
        <v>2031</v>
      </c>
    </row>
    <row r="23" spans="1:9" s="19" customFormat="1" hidden="1" outlineLevel="1" x14ac:dyDescent="0.2">
      <c r="A23" s="20" t="s">
        <v>209</v>
      </c>
      <c r="B23" s="21">
        <v>83.964982399999997</v>
      </c>
      <c r="C23" s="21">
        <f>B23+(B23*Parameters!$B$3)</f>
        <v>87.323581695999991</v>
      </c>
      <c r="D23" s="21">
        <f>C23+(C23*Parameters!$B$3)</f>
        <v>90.816524963839996</v>
      </c>
      <c r="E23" s="21">
        <f>D23+(D23*Parameters!$B$3)</f>
        <v>94.449185962393599</v>
      </c>
      <c r="F23" s="21">
        <f>E23+(E23*Parameters!$B$3)</f>
        <v>98.22715340088935</v>
      </c>
      <c r="G23" s="21">
        <f>F23+(F23*Parameters!$B$3)</f>
        <v>102.15623953692493</v>
      </c>
      <c r="I23" s="22"/>
    </row>
    <row r="24" spans="1:9" s="19" customFormat="1" hidden="1" outlineLevel="1" x14ac:dyDescent="0.2">
      <c r="A24" s="20" t="s">
        <v>210</v>
      </c>
      <c r="B24" s="21">
        <v>67.599999999999994</v>
      </c>
      <c r="C24" s="21">
        <f>B24+(B24*Parameters!$B$3)</f>
        <v>70.303999999999988</v>
      </c>
      <c r="D24" s="21">
        <f>C24+(C24*Parameters!$B$3)</f>
        <v>73.116159999999994</v>
      </c>
      <c r="E24" s="21">
        <f>D24+(D24*Parameters!$B$3)</f>
        <v>76.040806399999994</v>
      </c>
      <c r="F24" s="21">
        <f>E24+(E24*Parameters!$B$3)</f>
        <v>79.082438655999994</v>
      </c>
      <c r="G24" s="21">
        <f>F24+(F24*Parameters!$B$3)</f>
        <v>82.245736202239996</v>
      </c>
      <c r="I24" s="22"/>
    </row>
    <row r="25" spans="1:9" s="19" customFormat="1" hidden="1" outlineLevel="1" x14ac:dyDescent="0.2">
      <c r="A25" s="20" t="s">
        <v>211</v>
      </c>
      <c r="B25" s="21">
        <v>1013.2533112000001</v>
      </c>
      <c r="C25" s="21">
        <f>B25+(B25*Parameters!$B$3)</f>
        <v>1053.783443648</v>
      </c>
      <c r="D25" s="21">
        <f>C25+(C25*Parameters!$B$3)</f>
        <v>1095.93478139392</v>
      </c>
      <c r="E25" s="21">
        <f>D25+(D25*Parameters!$B$3)</f>
        <v>1139.7721726496768</v>
      </c>
      <c r="F25" s="21">
        <f>E25+(E25*Parameters!$B$3)</f>
        <v>1185.3630595556638</v>
      </c>
      <c r="G25" s="21">
        <f>F25+(F25*Parameters!$B$3)</f>
        <v>1232.7775819378903</v>
      </c>
      <c r="I25" s="22"/>
    </row>
    <row r="26" spans="1:9" s="19" customFormat="1" hidden="1" outlineLevel="1" x14ac:dyDescent="0.2">
      <c r="A26" s="20" t="s">
        <v>212</v>
      </c>
      <c r="B26" s="21">
        <v>1297.9148</v>
      </c>
      <c r="C26" s="21">
        <f>B26+(B26*Parameters!$B$3)</f>
        <v>1349.8313920000001</v>
      </c>
      <c r="D26" s="21">
        <f>C26+(C26*Parameters!$B$3)</f>
        <v>1403.82464768</v>
      </c>
      <c r="E26" s="21">
        <f>D26+(D26*Parameters!$B$3)</f>
        <v>1459.9776335872</v>
      </c>
      <c r="F26" s="21">
        <f>E26+(E26*Parameters!$B$3)</f>
        <v>1518.3767389306879</v>
      </c>
      <c r="G26" s="21">
        <f>F26+(F26*Parameters!$B$3)</f>
        <v>1579.1118084879154</v>
      </c>
      <c r="I26" s="22"/>
    </row>
    <row r="27" spans="1:9" s="19" customFormat="1" hidden="1" outlineLevel="1" x14ac:dyDescent="0.2">
      <c r="A27" s="20" t="s">
        <v>213</v>
      </c>
      <c r="B27" s="21">
        <v>1397.5528216000002</v>
      </c>
      <c r="C27" s="21">
        <f>B27+(B27*Parameters!$B$3)</f>
        <v>1453.4549344640002</v>
      </c>
      <c r="D27" s="21">
        <f>C27+(C27*Parameters!$B$3)</f>
        <v>1511.5931318425603</v>
      </c>
      <c r="E27" s="21">
        <f>D27+(D27*Parameters!$B$3)</f>
        <v>1572.0568571162628</v>
      </c>
      <c r="F27" s="21">
        <f>E27+(E27*Parameters!$B$3)</f>
        <v>1634.9391314009133</v>
      </c>
      <c r="G27" s="21">
        <f>F27+(F27*Parameters!$B$3)</f>
        <v>1700.3366966569499</v>
      </c>
      <c r="I27" s="22"/>
    </row>
    <row r="28" spans="1:9" s="19" customFormat="1" hidden="1" outlineLevel="1" x14ac:dyDescent="0.2">
      <c r="A28" s="20" t="s">
        <v>214</v>
      </c>
      <c r="B28" s="21">
        <v>84.778314399999999</v>
      </c>
      <c r="C28" s="21">
        <f>B28+(B28*Parameters!$B$3)</f>
        <v>88.169446976000003</v>
      </c>
      <c r="D28" s="21">
        <f>C28+(C28*Parameters!$B$3)</f>
        <v>91.696224855040001</v>
      </c>
      <c r="E28" s="21">
        <f>D28+(D28*Parameters!$B$3)</f>
        <v>95.364073849241606</v>
      </c>
      <c r="F28" s="21">
        <f>E28+(E28*Parameters!$B$3)</f>
        <v>99.178636803211276</v>
      </c>
      <c r="G28" s="21">
        <f>F28+(F28*Parameters!$B$3)</f>
        <v>103.14578227533973</v>
      </c>
      <c r="I28" s="22"/>
    </row>
    <row r="29" spans="1:9" s="19" customFormat="1" hidden="1" outlineLevel="1" x14ac:dyDescent="0.2">
      <c r="A29" s="20" t="s">
        <v>215</v>
      </c>
      <c r="B29" s="21">
        <v>42.159769599999997</v>
      </c>
      <c r="C29" s="21">
        <f>B29+(B29*Parameters!$B$3)</f>
        <v>43.846160383999994</v>
      </c>
      <c r="D29" s="21">
        <f>C29+(C29*Parameters!$B$3)</f>
        <v>45.600006799359996</v>
      </c>
      <c r="E29" s="21">
        <f>D29+(D29*Parameters!$B$3)</f>
        <v>47.424007071334394</v>
      </c>
      <c r="F29" s="21">
        <f>E29+(E29*Parameters!$B$3)</f>
        <v>49.320967354187772</v>
      </c>
      <c r="G29" s="21">
        <f>F29+(F29*Parameters!$B$3)</f>
        <v>51.293806048355286</v>
      </c>
      <c r="I29" s="22"/>
    </row>
    <row r="30" spans="1:9" s="19" customFormat="1" hidden="1" outlineLevel="1" x14ac:dyDescent="0.2">
      <c r="A30" s="20" t="s">
        <v>216</v>
      </c>
      <c r="B30" s="21">
        <v>96.813714399999995</v>
      </c>
      <c r="C30" s="21">
        <f>B30+(B30*Parameters!$B$3)</f>
        <v>100.68626297599999</v>
      </c>
      <c r="D30" s="21">
        <f>C30+(C30*Parameters!$B$3)</f>
        <v>104.71371349504</v>
      </c>
      <c r="E30" s="21">
        <f>D30+(D30*Parameters!$B$3)</f>
        <v>108.9022620348416</v>
      </c>
      <c r="F30" s="21">
        <f>E30+(E30*Parameters!$B$3)</f>
        <v>113.25835251623526</v>
      </c>
      <c r="G30" s="21">
        <f>F30+(F30*Parameters!$B$3)</f>
        <v>117.78868661688468</v>
      </c>
      <c r="I30" s="22"/>
    </row>
    <row r="31" spans="1:9" s="19" customFormat="1" hidden="1" outlineLevel="1" x14ac:dyDescent="0.2">
      <c r="A31" s="20" t="s">
        <v>217</v>
      </c>
      <c r="B31" s="21">
        <v>32.995663999999998</v>
      </c>
      <c r="C31" s="21">
        <f>B31+(B31*Parameters!$B$3)</f>
        <v>34.315490560000001</v>
      </c>
      <c r="D31" s="21">
        <f>C31+(C31*Parameters!$B$3)</f>
        <v>35.688110182400003</v>
      </c>
      <c r="E31" s="21">
        <f>D31+(D31*Parameters!$B$3)</f>
        <v>37.115634589696</v>
      </c>
      <c r="F31" s="21">
        <f>E31+(E31*Parameters!$B$3)</f>
        <v>38.600259973283841</v>
      </c>
      <c r="G31" s="21">
        <f>F31+(F31*Parameters!$B$3)</f>
        <v>40.144270372215196</v>
      </c>
      <c r="I31" s="22"/>
    </row>
    <row r="32" spans="1:9" s="19" customFormat="1" hidden="1" outlineLevel="1" x14ac:dyDescent="0.2">
      <c r="A32" s="20" t="s">
        <v>218</v>
      </c>
      <c r="B32" s="21">
        <v>589.59861999999998</v>
      </c>
      <c r="C32" s="21">
        <f>B32+(B32*Parameters!$B$3)</f>
        <v>613.18256480000002</v>
      </c>
      <c r="D32" s="21">
        <f>C32+(C32*Parameters!$B$3)</f>
        <v>637.70986739199998</v>
      </c>
      <c r="E32" s="21">
        <f>D32+(D32*Parameters!$B$3)</f>
        <v>663.21826208767993</v>
      </c>
      <c r="F32" s="21">
        <f>E32+(E32*Parameters!$B$3)</f>
        <v>689.74699257118709</v>
      </c>
      <c r="G32" s="21">
        <f>F32+(F32*Parameters!$B$3)</f>
        <v>717.33687227403459</v>
      </c>
      <c r="I32" s="22"/>
    </row>
    <row r="33" spans="1:9" s="19" customFormat="1" hidden="1" outlineLevel="1" x14ac:dyDescent="0.2">
      <c r="A33" s="20" t="s">
        <v>219</v>
      </c>
      <c r="B33" s="21">
        <v>74.547824000000006</v>
      </c>
      <c r="C33" s="21">
        <f>B33+(B33*Parameters!$B$3)</f>
        <v>77.529736960000008</v>
      </c>
      <c r="D33" s="21">
        <f>C33+(C33*Parameters!$B$3)</f>
        <v>80.63092643840001</v>
      </c>
      <c r="E33" s="21">
        <f>D33+(D33*Parameters!$B$3)</f>
        <v>83.856163495936016</v>
      </c>
      <c r="F33" s="21">
        <f>E33+(E33*Parameters!$B$3)</f>
        <v>87.210410035773464</v>
      </c>
      <c r="G33" s="21">
        <f>F33+(F33*Parameters!$B$3)</f>
        <v>90.698826437204403</v>
      </c>
      <c r="I33" s="22"/>
    </row>
    <row r="34" spans="1:9" s="19" customFormat="1" hidden="1" outlineLevel="1" x14ac:dyDescent="0.2">
      <c r="A34" s="20" t="s">
        <v>220</v>
      </c>
      <c r="B34" s="21">
        <v>1.3565239999999998</v>
      </c>
      <c r="C34" s="21">
        <f>B34+(B34*Parameters!$B$3)</f>
        <v>1.4107849599999998</v>
      </c>
      <c r="D34" s="21">
        <f>C34+(C34*Parameters!$B$3)</f>
        <v>1.4672163583999998</v>
      </c>
      <c r="E34" s="21">
        <f>D34+(D34*Parameters!$B$3)</f>
        <v>1.5259050127359997</v>
      </c>
      <c r="F34" s="21">
        <f>E34+(E34*Parameters!$B$3)</f>
        <v>1.5869412132454397</v>
      </c>
      <c r="G34" s="21">
        <f>F34+(F34*Parameters!$B$3)</f>
        <v>1.6504188617752573</v>
      </c>
      <c r="I34" s="22"/>
    </row>
    <row r="35" spans="1:9" s="19" customFormat="1" hidden="1" outlineLevel="1" x14ac:dyDescent="0.2">
      <c r="A35" s="20" t="s">
        <v>221</v>
      </c>
      <c r="B35" s="21">
        <v>15.81424</v>
      </c>
      <c r="C35" s="21">
        <f>B35+(B35*Parameters!$B$3)</f>
        <v>16.446809599999998</v>
      </c>
      <c r="D35" s="21">
        <f>C35+(C35*Parameters!$B$3)</f>
        <v>17.104681983999999</v>
      </c>
      <c r="E35" s="21">
        <f>D35+(D35*Parameters!$B$3)</f>
        <v>17.788869263359999</v>
      </c>
      <c r="F35" s="21">
        <f>E35+(E35*Parameters!$B$3)</f>
        <v>18.500424033894397</v>
      </c>
      <c r="G35" s="21">
        <f>F35+(F35*Parameters!$B$3)</f>
        <v>19.240440995250172</v>
      </c>
      <c r="I35" s="22"/>
    </row>
    <row r="36" spans="1:9" s="19" customFormat="1" hidden="1" outlineLevel="1" x14ac:dyDescent="0.2">
      <c r="A36" s="20" t="s">
        <v>222</v>
      </c>
      <c r="B36" s="21">
        <v>4945.7159128000003</v>
      </c>
      <c r="C36" s="21">
        <f>B36+(B36*Parameters!$B$3)</f>
        <v>5143.5445493120005</v>
      </c>
      <c r="D36" s="21">
        <f>C36+(C36*Parameters!$B$3)</f>
        <v>5349.2863312844802</v>
      </c>
      <c r="E36" s="21">
        <f>D36+(D36*Parameters!$B$3)</f>
        <v>5563.2577845358592</v>
      </c>
      <c r="F36" s="21">
        <f>E36+(E36*Parameters!$B$3)</f>
        <v>5785.7880959172935</v>
      </c>
      <c r="G36" s="21">
        <f>F36+(F36*Parameters!$B$3)</f>
        <v>6017.2196197539852</v>
      </c>
      <c r="I36" s="22"/>
    </row>
    <row r="37" spans="1:9" s="19" customFormat="1" hidden="1" outlineLevel="1" x14ac:dyDescent="0.2">
      <c r="A37" s="20" t="s">
        <v>223</v>
      </c>
      <c r="B37" s="21">
        <v>424.32</v>
      </c>
      <c r="C37" s="21">
        <f>B37+(B37*Parameters!$B$3)</f>
        <v>441.2928</v>
      </c>
      <c r="D37" s="21">
        <f>C37+(C37*Parameters!$B$3)</f>
        <v>458.94451199999997</v>
      </c>
      <c r="E37" s="21">
        <f>D37+(D37*Parameters!$B$3)</f>
        <v>477.30229247999995</v>
      </c>
      <c r="F37" s="21">
        <f>E37+(E37*Parameters!$B$3)</f>
        <v>496.39438417919996</v>
      </c>
      <c r="G37" s="21">
        <f>F37+(F37*Parameters!$B$3)</f>
        <v>516.25015954636797</v>
      </c>
      <c r="I37" s="22"/>
    </row>
    <row r="38" spans="1:9" s="19" customFormat="1" hidden="1" outlineLevel="1" x14ac:dyDescent="0.2">
      <c r="A38" s="20" t="s">
        <v>224</v>
      </c>
      <c r="B38" s="21">
        <v>258.20600000000002</v>
      </c>
      <c r="C38" s="21">
        <f>B38+(B38*Parameters!$B$3)</f>
        <v>268.53424000000001</v>
      </c>
      <c r="D38" s="21">
        <f>C38+(C38*Parameters!$B$3)</f>
        <v>279.2756096</v>
      </c>
      <c r="E38" s="21">
        <f>D38+(D38*Parameters!$B$3)</f>
        <v>290.44663398400002</v>
      </c>
      <c r="F38" s="21">
        <f>E38+(E38*Parameters!$B$3)</f>
        <v>302.06449934336001</v>
      </c>
      <c r="G38" s="21">
        <f>F38+(F38*Parameters!$B$3)</f>
        <v>314.14707931709444</v>
      </c>
      <c r="I38" s="22"/>
    </row>
    <row r="39" spans="1:9" s="19" customFormat="1" hidden="1" outlineLevel="1" x14ac:dyDescent="0.2">
      <c r="A39" s="20" t="s">
        <v>225</v>
      </c>
      <c r="B39" s="21">
        <v>648.96</v>
      </c>
      <c r="C39" s="21">
        <f>B39+(B39*Parameters!$B$3)</f>
        <v>674.91840000000002</v>
      </c>
      <c r="D39" s="21">
        <f>C39+(C39*Parameters!$B$3)</f>
        <v>701.91513600000008</v>
      </c>
      <c r="E39" s="21">
        <f>D39+(D39*Parameters!$B$3)</f>
        <v>729.99174144000006</v>
      </c>
      <c r="F39" s="21">
        <f>E39+(E39*Parameters!$B$3)</f>
        <v>759.19141109760005</v>
      </c>
      <c r="G39" s="21">
        <f>F39+(F39*Parameters!$B$3)</f>
        <v>789.55906754150408</v>
      </c>
      <c r="I39" s="22"/>
    </row>
    <row r="40" spans="1:9" s="19" customFormat="1" hidden="1" outlineLevel="1" x14ac:dyDescent="0.2">
      <c r="A40" s="20" t="s">
        <v>226</v>
      </c>
      <c r="B40" s="21">
        <v>35.304287199999997</v>
      </c>
      <c r="C40" s="21">
        <f>B40+(B40*Parameters!$B$3)</f>
        <v>36.716458687999996</v>
      </c>
      <c r="D40" s="21">
        <f>C40+(C40*Parameters!$B$3)</f>
        <v>38.185117035519994</v>
      </c>
      <c r="E40" s="21">
        <f>D40+(D40*Parameters!$B$3)</f>
        <v>39.712521716940792</v>
      </c>
      <c r="F40" s="21">
        <f>E40+(E40*Parameters!$B$3)</f>
        <v>41.301022585618426</v>
      </c>
      <c r="G40" s="21">
        <f>F40+(F40*Parameters!$B$3)</f>
        <v>42.95306348904316</v>
      </c>
      <c r="I40" s="22"/>
    </row>
    <row r="41" spans="1:9" s="19" customFormat="1" hidden="1" outlineLevel="1" x14ac:dyDescent="0.2">
      <c r="A41" s="20" t="s">
        <v>227</v>
      </c>
      <c r="B41" s="21">
        <v>41.836090399999996</v>
      </c>
      <c r="C41" s="21">
        <f>B41+(B41*Parameters!$B$3)</f>
        <v>43.509534015999996</v>
      </c>
      <c r="D41" s="21">
        <f>C41+(C41*Parameters!$B$3)</f>
        <v>45.249915376639997</v>
      </c>
      <c r="E41" s="21">
        <f>D41+(D41*Parameters!$B$3)</f>
        <v>47.059911991705597</v>
      </c>
      <c r="F41" s="21">
        <f>E41+(E41*Parameters!$B$3)</f>
        <v>48.942308471373821</v>
      </c>
      <c r="G41" s="21">
        <f>F41+(F41*Parameters!$B$3)</f>
        <v>50.900000810228775</v>
      </c>
      <c r="I41" s="22"/>
    </row>
    <row r="42" spans="1:9" s="19" customFormat="1" hidden="1" outlineLevel="1" x14ac:dyDescent="0.2">
      <c r="A42" s="20" t="s">
        <v>228</v>
      </c>
      <c r="B42" s="21">
        <v>1.12944</v>
      </c>
      <c r="C42" s="21">
        <f>B42+(B42*Parameters!$B$3)</f>
        <v>1.1746175999999999</v>
      </c>
      <c r="D42" s="21">
        <f>C42+(C42*Parameters!$B$3)</f>
        <v>1.2216023039999999</v>
      </c>
      <c r="E42" s="21">
        <f>D42+(D42*Parameters!$B$3)</f>
        <v>1.27046639616</v>
      </c>
      <c r="F42" s="21">
        <f>E42+(E42*Parameters!$B$3)</f>
        <v>1.3212850520064001</v>
      </c>
      <c r="G42" s="21">
        <f>F42+(F42*Parameters!$B$3)</f>
        <v>1.3741364540866561</v>
      </c>
      <c r="I42" s="22"/>
    </row>
    <row r="43" spans="1:9" s="19" customFormat="1" hidden="1" outlineLevel="1" x14ac:dyDescent="0.2">
      <c r="A43" s="20" t="s">
        <v>229</v>
      </c>
      <c r="B43" s="21">
        <v>32.408251200000002</v>
      </c>
      <c r="C43" s="21">
        <f>B43+(B43*Parameters!$B$3)</f>
        <v>33.704581248000004</v>
      </c>
      <c r="D43" s="21">
        <f>C43+(C43*Parameters!$B$3)</f>
        <v>35.052764497920002</v>
      </c>
      <c r="E43" s="21">
        <f>D43+(D43*Parameters!$B$3)</f>
        <v>36.454875077836803</v>
      </c>
      <c r="F43" s="21">
        <f>E43+(E43*Parameters!$B$3)</f>
        <v>37.913070080950277</v>
      </c>
      <c r="G43" s="21">
        <f>F43+(F43*Parameters!$B$3)</f>
        <v>39.429592884188288</v>
      </c>
      <c r="I43" s="22"/>
    </row>
    <row r="44" spans="1:9" s="19" customFormat="1" hidden="1" outlineLevel="1" x14ac:dyDescent="0.2">
      <c r="A44" s="20" t="s">
        <v>230</v>
      </c>
      <c r="B44" s="21">
        <v>232.39448960000001</v>
      </c>
      <c r="C44" s="21">
        <f>B44+(B44*Parameters!$B$3)</f>
        <v>241.69026918400002</v>
      </c>
      <c r="D44" s="21">
        <f>C44+(C44*Parameters!$B$3)</f>
        <v>251.35787995136002</v>
      </c>
      <c r="E44" s="21">
        <f>D44+(D44*Parameters!$B$3)</f>
        <v>261.4121951494144</v>
      </c>
      <c r="F44" s="21">
        <f>E44+(E44*Parameters!$B$3)</f>
        <v>271.86868295539097</v>
      </c>
      <c r="G44" s="21">
        <f>F44+(F44*Parameters!$B$3)</f>
        <v>282.74343027360658</v>
      </c>
      <c r="I44" s="22"/>
    </row>
    <row r="45" spans="1:9" s="19" customFormat="1" hidden="1" outlineLevel="1" x14ac:dyDescent="0.2">
      <c r="A45" s="20" t="s">
        <v>231</v>
      </c>
      <c r="B45" s="21">
        <v>1526.3378936000001</v>
      </c>
      <c r="C45" s="21">
        <f>B45+(B45*Parameters!$B$3)</f>
        <v>1587.3914093440001</v>
      </c>
      <c r="D45" s="21">
        <f>C45+(C45*Parameters!$B$3)</f>
        <v>1650.8870657177602</v>
      </c>
      <c r="E45" s="21">
        <f>D45+(D45*Parameters!$B$3)</f>
        <v>1716.9225483464706</v>
      </c>
      <c r="F45" s="21">
        <f>E45+(E45*Parameters!$B$3)</f>
        <v>1785.5994502803294</v>
      </c>
      <c r="G45" s="21">
        <f>F45+(F45*Parameters!$B$3)</f>
        <v>1857.0234282915426</v>
      </c>
      <c r="I45" s="22"/>
    </row>
    <row r="46" spans="1:9" s="19" customFormat="1" hidden="1" outlineLevel="1" x14ac:dyDescent="0.2">
      <c r="A46" s="20" t="s">
        <v>232</v>
      </c>
      <c r="B46" s="21">
        <v>-624</v>
      </c>
      <c r="C46" s="21">
        <f>B46+(B46*Parameters!$B$3)</f>
        <v>-648.96</v>
      </c>
      <c r="D46" s="21">
        <f>C46+(C46*Parameters!$B$3)</f>
        <v>-674.91840000000002</v>
      </c>
      <c r="E46" s="21">
        <f>D46+(D46*Parameters!$B$3)</f>
        <v>-701.91513600000008</v>
      </c>
      <c r="F46" s="21">
        <f>E46+(E46*Parameters!$B$3)</f>
        <v>-729.99174144000006</v>
      </c>
      <c r="G46" s="21">
        <f>F46+(F46*Parameters!$B$3)</f>
        <v>-759.19141109760005</v>
      </c>
      <c r="I46" s="22"/>
    </row>
    <row r="47" spans="1:9" s="19" customFormat="1" collapsed="1" x14ac:dyDescent="0.2">
      <c r="A47" s="19" t="s">
        <v>233</v>
      </c>
      <c r="B47" s="22">
        <f>SUM(B23:B46)</f>
        <v>12320.962950400002</v>
      </c>
      <c r="C47" s="22">
        <f t="shared" ref="C47:G47" si="4">SUM(C23:C46)</f>
        <v>12813.801468416001</v>
      </c>
      <c r="D47" s="22">
        <f t="shared" si="4"/>
        <v>13326.353527152638</v>
      </c>
      <c r="E47" s="22">
        <f t="shared" si="4"/>
        <v>13859.407668238748</v>
      </c>
      <c r="F47" s="22">
        <f t="shared" si="4"/>
        <v>14413.783974968297</v>
      </c>
      <c r="G47" s="22">
        <f t="shared" si="4"/>
        <v>14990.33533396703</v>
      </c>
    </row>
    <row r="48" spans="1:9" s="19" customFormat="1" x14ac:dyDescent="0.2">
      <c r="B48" s="22"/>
      <c r="C48" s="22"/>
      <c r="D48" s="22"/>
      <c r="E48" s="22"/>
      <c r="F48" s="22"/>
      <c r="G48" s="22"/>
    </row>
    <row r="49" spans="1:7" s="19" customFormat="1" x14ac:dyDescent="0.2">
      <c r="A49" s="20" t="s">
        <v>157</v>
      </c>
      <c r="B49" s="21">
        <f>(Parameters!B9*Parameters!B10)/1000</f>
        <v>10850</v>
      </c>
      <c r="C49" s="21">
        <f>B49+(B49*Parameters!$B$3)</f>
        <v>11284</v>
      </c>
      <c r="D49" s="21">
        <f>C49+(C49*Parameters!$B$3)</f>
        <v>11735.36</v>
      </c>
      <c r="E49" s="21">
        <f>D49+(D49*Parameters!$B$3)</f>
        <v>12204.7744</v>
      </c>
      <c r="F49" s="21">
        <f>E49+(E49*Parameters!$B$3)</f>
        <v>12692.965376</v>
      </c>
      <c r="G49" s="21">
        <f>F49+(F49*Parameters!$B$3)</f>
        <v>13200.683991039999</v>
      </c>
    </row>
    <row r="50" spans="1:7" x14ac:dyDescent="0.2">
      <c r="A50" s="19"/>
      <c r="B50" s="21"/>
      <c r="C50" s="21"/>
      <c r="D50" s="21"/>
      <c r="E50" s="21"/>
      <c r="F50" s="21"/>
      <c r="G50" s="21"/>
    </row>
    <row r="51" spans="1:7" x14ac:dyDescent="0.2">
      <c r="A51" s="19" t="s">
        <v>10</v>
      </c>
      <c r="B51" s="22">
        <f t="shared" ref="B51:G51" si="5">B20-B47</f>
        <v>15082.878599600002</v>
      </c>
      <c r="C51" s="22">
        <f t="shared" si="5"/>
        <v>17115.111670383994</v>
      </c>
      <c r="D51" s="22">
        <f t="shared" si="5"/>
        <v>18711.909442079359</v>
      </c>
      <c r="E51" s="22">
        <f t="shared" si="5"/>
        <v>20532.472111403702</v>
      </c>
      <c r="F51" s="22">
        <f t="shared" si="5"/>
        <v>22480.099560373186</v>
      </c>
      <c r="G51" s="22">
        <f t="shared" si="5"/>
        <v>24308.463758451377</v>
      </c>
    </row>
    <row r="52" spans="1:7" x14ac:dyDescent="0.2">
      <c r="A52" s="20" t="s">
        <v>11</v>
      </c>
      <c r="B52" s="21">
        <f>('capital structure'!B5*'capital structure'!D5)/12</f>
        <v>333.33333333333331</v>
      </c>
      <c r="C52" s="21">
        <f>('capital structure'!B5*'capital structure'!D5)/12</f>
        <v>333.33333333333331</v>
      </c>
      <c r="D52" s="21">
        <f>(C63*'capital structure'!$D$5)/12</f>
        <v>333.33333333333331</v>
      </c>
      <c r="E52" s="21">
        <f>(D63*'capital structure'!$D$5)/12</f>
        <v>250</v>
      </c>
      <c r="F52" s="21">
        <f>(E63*'capital structure'!$D$5)/12</f>
        <v>166.66666666666666</v>
      </c>
      <c r="G52" s="21">
        <f>(F63*'capital structure'!$D$5)/12</f>
        <v>83.333333333333329</v>
      </c>
    </row>
    <row r="53" spans="1:7" x14ac:dyDescent="0.2">
      <c r="A53" s="20" t="s">
        <v>12</v>
      </c>
      <c r="B53" s="21">
        <f>B62*'capital structure'!$D$9</f>
        <v>0</v>
      </c>
      <c r="C53" s="21">
        <f>C62*'capital structure'!$D$9</f>
        <v>0</v>
      </c>
      <c r="D53" s="21">
        <f>D62*'capital structure'!$D$9</f>
        <v>0</v>
      </c>
      <c r="E53" s="21">
        <f>E62*'capital structure'!$D$9</f>
        <v>0</v>
      </c>
      <c r="F53" s="21">
        <f>F62*'capital structure'!$D$9</f>
        <v>0</v>
      </c>
      <c r="G53" s="21">
        <f>G62*'capital structure'!$D$9</f>
        <v>0</v>
      </c>
    </row>
    <row r="54" spans="1:7" x14ac:dyDescent="0.2">
      <c r="A54" s="20" t="s">
        <v>208</v>
      </c>
      <c r="B54" s="21"/>
      <c r="C54" s="21"/>
      <c r="D54" s="21"/>
      <c r="E54" s="21"/>
      <c r="F54" s="21"/>
      <c r="G54" s="21"/>
    </row>
    <row r="55" spans="1:7" x14ac:dyDescent="0.2">
      <c r="A55" s="20" t="s">
        <v>13</v>
      </c>
      <c r="B55" s="21">
        <f t="shared" ref="B55:G55" si="6">B51-B52-B53</f>
        <v>14749.545266266668</v>
      </c>
      <c r="C55" s="21">
        <f t="shared" si="6"/>
        <v>16781.778337050662</v>
      </c>
      <c r="D55" s="21">
        <f t="shared" si="6"/>
        <v>18378.576108746027</v>
      </c>
      <c r="E55" s="21">
        <f t="shared" si="6"/>
        <v>20282.472111403702</v>
      </c>
      <c r="F55" s="21">
        <f t="shared" si="6"/>
        <v>22313.432893706518</v>
      </c>
      <c r="G55" s="21">
        <f t="shared" si="6"/>
        <v>24225.130425118045</v>
      </c>
    </row>
    <row r="56" spans="1:7" x14ac:dyDescent="0.2">
      <c r="A56" s="20" t="s">
        <v>14</v>
      </c>
      <c r="B56" s="21">
        <f>B55*Parameters!$B$4</f>
        <v>3687.3863165666671</v>
      </c>
      <c r="C56" s="21">
        <f>C55*Parameters!$B$4</f>
        <v>4195.4445842626656</v>
      </c>
      <c r="D56" s="21">
        <f>D55*Parameters!$B$4</f>
        <v>4594.6440271865067</v>
      </c>
      <c r="E56" s="21">
        <f>E55*Parameters!$B$4</f>
        <v>5070.6180278509255</v>
      </c>
      <c r="F56" s="21">
        <f>F55*Parameters!$B$4</f>
        <v>5578.3582234266296</v>
      </c>
      <c r="G56" s="21">
        <f>G55*Parameters!$B$4</f>
        <v>6056.2826062795111</v>
      </c>
    </row>
    <row r="57" spans="1:7" x14ac:dyDescent="0.2">
      <c r="A57" s="19" t="s">
        <v>15</v>
      </c>
      <c r="B57" s="22">
        <f>B55-B56</f>
        <v>11062.158949700002</v>
      </c>
      <c r="C57" s="22">
        <f t="shared" ref="C57:G57" si="7">C55-C56</f>
        <v>12586.333752787996</v>
      </c>
      <c r="D57" s="22">
        <f t="shared" si="7"/>
        <v>13783.93208155952</v>
      </c>
      <c r="E57" s="22">
        <f t="shared" si="7"/>
        <v>15211.854083552777</v>
      </c>
      <c r="F57" s="22">
        <f t="shared" si="7"/>
        <v>16735.07467027989</v>
      </c>
      <c r="G57" s="22">
        <f t="shared" si="7"/>
        <v>18168.847818838534</v>
      </c>
    </row>
    <row r="58" spans="1:7" x14ac:dyDescent="0.2">
      <c r="A58" s="20" t="s">
        <v>16</v>
      </c>
      <c r="B58" s="21">
        <v>0</v>
      </c>
      <c r="C58" s="21">
        <v>20000</v>
      </c>
      <c r="D58" s="21">
        <v>0</v>
      </c>
      <c r="E58" s="21">
        <v>0</v>
      </c>
      <c r="F58" s="21">
        <f>'capital structure'!$B$4*0%</f>
        <v>0</v>
      </c>
      <c r="G58" s="21">
        <f>'capital structure'!$B$4*0%</f>
        <v>0</v>
      </c>
    </row>
    <row r="59" spans="1:7" x14ac:dyDescent="0.2">
      <c r="A59" s="20" t="s">
        <v>17</v>
      </c>
      <c r="B59" s="21">
        <v>0</v>
      </c>
      <c r="C59" s="21">
        <v>0</v>
      </c>
      <c r="D59" s="21">
        <v>0</v>
      </c>
      <c r="E59" s="21">
        <v>0</v>
      </c>
      <c r="F59" s="21">
        <v>9090</v>
      </c>
      <c r="G59" s="21">
        <v>0</v>
      </c>
    </row>
    <row r="60" spans="1:7" x14ac:dyDescent="0.2">
      <c r="A60" s="20" t="s">
        <v>18</v>
      </c>
      <c r="B60" s="21">
        <v>0</v>
      </c>
      <c r="C60" s="21">
        <v>0</v>
      </c>
      <c r="D60" s="21">
        <f>'capital structure'!$B$5*'capital structure'!$E$5</f>
        <v>10000</v>
      </c>
      <c r="E60" s="21">
        <f>'capital structure'!$B$5*'capital structure'!$E$5</f>
        <v>10000</v>
      </c>
      <c r="F60" s="21">
        <v>10000</v>
      </c>
      <c r="G60" s="21">
        <v>10000</v>
      </c>
    </row>
    <row r="61" spans="1:7" x14ac:dyDescent="0.2">
      <c r="A61" s="20" t="s">
        <v>19</v>
      </c>
      <c r="B61" s="21">
        <f>'capital structure'!B4</f>
        <v>20000</v>
      </c>
      <c r="C61" s="21">
        <f>B61+(B61*'capital structure'!$D$4)-C58</f>
        <v>0</v>
      </c>
      <c r="D61" s="21">
        <f>C61+(C61*'capital structure'!$D$4)-D58</f>
        <v>0</v>
      </c>
      <c r="E61" s="21">
        <f>D61+(D61*'capital structure'!$D$4)-E58</f>
        <v>0</v>
      </c>
      <c r="F61" s="21">
        <f>E61+(E61*'capital structure'!$D$4)-F58</f>
        <v>0</v>
      </c>
      <c r="G61" s="21">
        <f>F61+(F61*'capital structure'!$D$4)-G58</f>
        <v>0</v>
      </c>
    </row>
    <row r="62" spans="1:7" x14ac:dyDescent="0.2">
      <c r="A62" s="20" t="s">
        <v>20</v>
      </c>
      <c r="B62" s="21">
        <f>'capital structure'!B9</f>
        <v>8316.8672813333324</v>
      </c>
      <c r="C62" s="21">
        <f>B62+(B62*'capital structure'!$D$9)-C59</f>
        <v>8316.8672813333324</v>
      </c>
      <c r="D62" s="21">
        <f>C62+(C62*'capital structure'!$D$9)-D59</f>
        <v>8316.8672813333324</v>
      </c>
      <c r="E62" s="21">
        <f>D62+(D62*'capital structure'!$D$9)-E59</f>
        <v>8316.8672813333324</v>
      </c>
      <c r="F62" s="21">
        <f>E62+(E62*'capital structure'!$D$9)-F59</f>
        <v>-773.13271866666764</v>
      </c>
      <c r="G62" s="21">
        <f>F62+(F62*'capital structure'!$D$9)-G59</f>
        <v>-773.13271866666764</v>
      </c>
    </row>
    <row r="63" spans="1:7" x14ac:dyDescent="0.2">
      <c r="A63" s="20" t="s">
        <v>21</v>
      </c>
      <c r="B63" s="21">
        <f>'capital structure'!B5</f>
        <v>40000</v>
      </c>
      <c r="C63" s="21">
        <f>B63-C60</f>
        <v>40000</v>
      </c>
      <c r="D63" s="21">
        <f>C63-D60</f>
        <v>30000</v>
      </c>
      <c r="E63" s="21">
        <f>D63-E60</f>
        <v>20000</v>
      </c>
      <c r="F63" s="21">
        <f>E63-F60</f>
        <v>10000</v>
      </c>
      <c r="G63" s="21">
        <f>F63-G60</f>
        <v>0</v>
      </c>
    </row>
    <row r="64" spans="1:7" x14ac:dyDescent="0.2">
      <c r="A64" s="20" t="s">
        <v>74</v>
      </c>
      <c r="B64" s="21">
        <f>capex!$B$6+B55-B56-B58-B59-B60</f>
        <v>11062.158949700002</v>
      </c>
      <c r="C64" s="21">
        <f>C55-C56-C58-C59-C60</f>
        <v>-7413.6662472120042</v>
      </c>
      <c r="D64" s="21">
        <f t="shared" ref="D64:F64" si="8">D55-D56-D58-D59-D60</f>
        <v>3783.9320815595202</v>
      </c>
      <c r="E64" s="21">
        <f t="shared" si="8"/>
        <v>5211.8540835527765</v>
      </c>
      <c r="F64" s="21">
        <f t="shared" si="8"/>
        <v>-2354.9253297201103</v>
      </c>
      <c r="G64" s="21">
        <f>G55-G56-G58-G59-G60</f>
        <v>8168.8478188385343</v>
      </c>
    </row>
    <row r="65" spans="1:7" x14ac:dyDescent="0.2">
      <c r="A65" s="20" t="s">
        <v>52</v>
      </c>
      <c r="B65" s="21">
        <f>capex!$B$6+B55-B56-B58-B59-B60</f>
        <v>11062.158949700002</v>
      </c>
      <c r="C65" s="21">
        <f>B65+C64</f>
        <v>3648.492702487998</v>
      </c>
      <c r="D65" s="21">
        <f>C65+D64</f>
        <v>7432.4247840475182</v>
      </c>
      <c r="E65" s="21">
        <f>D65+E55-E56-E58-E59-E60</f>
        <v>12644.278867600297</v>
      </c>
      <c r="F65" s="21">
        <f>E65+F55-F56-F58-F59-F60</f>
        <v>10289.353537880183</v>
      </c>
      <c r="G65" s="21">
        <f>F65+G55-G56-G58-G59-G60</f>
        <v>18458.20135671872</v>
      </c>
    </row>
    <row r="67" spans="1:7" x14ac:dyDescent="0.2">
      <c r="A67" s="20" t="s">
        <v>53</v>
      </c>
      <c r="B67" s="21">
        <f>IF(B51*Parameters!$B$5&lt;B70,B70,B51*Parameters!$B$5)</f>
        <v>85000</v>
      </c>
      <c r="C67" s="21">
        <f>IF(C51*Parameters!$B$5&lt;C70,C70,C51*Parameters!$B$5)</f>
        <v>88400</v>
      </c>
      <c r="D67" s="21">
        <f>IF(D51*Parameters!$B$5&lt;D70,D70,D51*Parameters!$B$5)</f>
        <v>93559.547210396791</v>
      </c>
      <c r="E67" s="21">
        <f>IF(E51*Parameters!$B$5&lt;E70,E70,E51*Parameters!$B$5)</f>
        <v>102662.36055701852</v>
      </c>
      <c r="F67" s="21">
        <f>IF(F51*Parameters!$B$5&lt;F70,F70,F51*Parameters!$B$5)</f>
        <v>112400.49780186593</v>
      </c>
      <c r="G67" s="21">
        <f>IF(G51*Parameters!$B$5&lt;G70,G70,G51*Parameters!$B$5)</f>
        <v>121542.31879225688</v>
      </c>
    </row>
    <row r="68" spans="1:7" x14ac:dyDescent="0.2">
      <c r="A68" s="20" t="s">
        <v>46</v>
      </c>
      <c r="B68" s="21">
        <f>B67+B65-B61-B62-B63</f>
        <v>27745.29166836667</v>
      </c>
      <c r="C68" s="21">
        <f t="shared" ref="C68:F68" si="9">C67+C65-C61-C62-C63</f>
        <v>43731.625421154662</v>
      </c>
      <c r="D68" s="21">
        <f t="shared" si="9"/>
        <v>62675.104713110981</v>
      </c>
      <c r="E68" s="21">
        <f t="shared" si="9"/>
        <v>86989.772143285489</v>
      </c>
      <c r="F68" s="21">
        <f t="shared" si="9"/>
        <v>113462.98405841278</v>
      </c>
      <c r="G68" s="21">
        <f>G67+G65-G61-G62-G63</f>
        <v>140773.65286764226</v>
      </c>
    </row>
    <row r="70" spans="1:7" x14ac:dyDescent="0.2">
      <c r="A70" s="20" t="s">
        <v>264</v>
      </c>
      <c r="B70" s="21">
        <f>Parameters!B6</f>
        <v>85000</v>
      </c>
      <c r="C70" s="21">
        <f>B70+(B70*Parameters!$B$3)</f>
        <v>88400</v>
      </c>
      <c r="D70" s="21">
        <f>C70+(C70*Parameters!$B$3)</f>
        <v>91936</v>
      </c>
      <c r="E70" s="21">
        <f>D70+(D70*Parameters!$B$3)</f>
        <v>95613.440000000002</v>
      </c>
      <c r="F70" s="21">
        <f>E70+(E70*Parameters!$B$3)</f>
        <v>99437.977599999998</v>
      </c>
      <c r="G70" s="21">
        <f>F70+(F70*Parameters!$B$3)</f>
        <v>103415.496704</v>
      </c>
    </row>
    <row r="71" spans="1:7" x14ac:dyDescent="0.2">
      <c r="A71" s="20" t="s">
        <v>265</v>
      </c>
      <c r="B71" s="119">
        <f>B70/Parameters!$B$2</f>
        <v>4427.0833333333339</v>
      </c>
      <c r="C71" s="119">
        <f>C70/Parameters!$B$2</f>
        <v>4604.166666666667</v>
      </c>
      <c r="D71" s="119">
        <f>D70/Parameters!$B$2</f>
        <v>4788.3333333333339</v>
      </c>
      <c r="E71" s="119">
        <f>E70/Parameters!$B$2</f>
        <v>4979.8666666666668</v>
      </c>
      <c r="F71" s="119">
        <f>F70/Parameters!$B$2</f>
        <v>5179.0613333333331</v>
      </c>
      <c r="G71" s="119">
        <f>G70/Parameters!$B$2</f>
        <v>5386.2237866666674</v>
      </c>
    </row>
    <row r="73" spans="1:7" x14ac:dyDescent="0.2">
      <c r="A73" s="20" t="s">
        <v>64</v>
      </c>
      <c r="B73" s="26" t="s">
        <v>58</v>
      </c>
      <c r="C73" s="26" t="s">
        <v>59</v>
      </c>
      <c r="D73" s="26" t="s">
        <v>60</v>
      </c>
      <c r="E73" s="26" t="s">
        <v>61</v>
      </c>
      <c r="F73" s="26" t="s">
        <v>62</v>
      </c>
      <c r="G73" s="26" t="s">
        <v>63</v>
      </c>
    </row>
    <row r="74" spans="1:7" x14ac:dyDescent="0.2">
      <c r="A74" s="20" t="s">
        <v>22</v>
      </c>
      <c r="B74" s="27">
        <f>B67/Parameters!$B$2</f>
        <v>4427.0833333333339</v>
      </c>
      <c r="C74" s="27">
        <f>C67/Parameters!$B$2</f>
        <v>4604.166666666667</v>
      </c>
      <c r="D74" s="27">
        <f>D67/Parameters!$B$2</f>
        <v>4872.8930838748329</v>
      </c>
      <c r="E74" s="27">
        <f>E67/Parameters!$B$2</f>
        <v>5346.9979456780484</v>
      </c>
      <c r="F74" s="27">
        <f>F67/Parameters!$B$2</f>
        <v>5854.1925938471841</v>
      </c>
      <c r="G74" s="27">
        <f>G67/Parameters!$B$2</f>
        <v>6330.329103763379</v>
      </c>
    </row>
    <row r="75" spans="1:7" x14ac:dyDescent="0.2">
      <c r="A75" s="20" t="s">
        <v>10</v>
      </c>
      <c r="B75" s="27">
        <f>B51/Parameters!$B$2</f>
        <v>785.56659372916681</v>
      </c>
      <c r="C75" s="27">
        <f>C51/Parameters!$B$2</f>
        <v>891.41206616583304</v>
      </c>
      <c r="D75" s="27">
        <f>D51/Parameters!$B$2</f>
        <v>974.57861677496669</v>
      </c>
      <c r="E75" s="27">
        <f>E51/Parameters!$B$2</f>
        <v>1069.3995891356096</v>
      </c>
      <c r="F75" s="27">
        <f>F51/Parameters!$B$2</f>
        <v>1170.8385187694369</v>
      </c>
      <c r="G75" s="27">
        <f>G51/Parameters!$B$2</f>
        <v>1266.065820752676</v>
      </c>
    </row>
    <row r="76" spans="1:7" x14ac:dyDescent="0.2">
      <c r="A76" s="20" t="s">
        <v>32</v>
      </c>
      <c r="B76" s="27">
        <f>B68/Parameters!$B$2</f>
        <v>1445.0672743940975</v>
      </c>
      <c r="C76" s="27">
        <f>C68/Parameters!$B$2</f>
        <v>2277.6888240184721</v>
      </c>
      <c r="D76" s="27">
        <f>D68/Parameters!$B$2</f>
        <v>3264.3283704745304</v>
      </c>
      <c r="E76" s="27">
        <f>E68/Parameters!$B$2</f>
        <v>4530.7172991294528</v>
      </c>
      <c r="F76" s="27">
        <f>F68/Parameters!$B$2</f>
        <v>5909.530419708999</v>
      </c>
      <c r="G76" s="27">
        <f>G68/Parameters!$B$2</f>
        <v>7331.9610868563677</v>
      </c>
    </row>
  </sheetData>
  <dataConsolidate/>
  <mergeCells count="1">
    <mergeCell ref="A1:G1"/>
  </mergeCells>
  <pageMargins left="0.7" right="0.7" top="0.75" bottom="0.75" header="0.3" footer="0.3"/>
  <pageSetup orientation="landscape"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3B75C-FECA-493E-A2F0-4353857702F5}">
  <dimension ref="A1:F15"/>
  <sheetViews>
    <sheetView zoomScale="175" zoomScaleNormal="175" workbookViewId="0">
      <selection sqref="A1:F1"/>
    </sheetView>
  </sheetViews>
  <sheetFormatPr defaultRowHeight="15" x14ac:dyDescent="0.25"/>
  <cols>
    <col min="1" max="1" width="45.140625" customWidth="1"/>
    <col min="2" max="3" width="11.7109375" customWidth="1"/>
    <col min="5" max="5" width="11.5703125" customWidth="1"/>
    <col min="6" max="6" width="12.28515625" bestFit="1" customWidth="1"/>
  </cols>
  <sheetData>
    <row r="1" spans="1:6" ht="18.75" x14ac:dyDescent="0.25">
      <c r="A1" s="129" t="s">
        <v>23</v>
      </c>
      <c r="B1" s="129"/>
      <c r="C1" s="129"/>
      <c r="D1" s="129"/>
      <c r="E1" s="129"/>
      <c r="F1" s="129"/>
    </row>
    <row r="2" spans="1:6" x14ac:dyDescent="0.25">
      <c r="A2" s="9"/>
      <c r="B2" s="10" t="s">
        <v>24</v>
      </c>
      <c r="C2" s="10" t="s">
        <v>25</v>
      </c>
      <c r="D2" s="10" t="s">
        <v>26</v>
      </c>
      <c r="E2" s="11" t="s">
        <v>27</v>
      </c>
    </row>
    <row r="3" spans="1:6" x14ac:dyDescent="0.25">
      <c r="A3" s="12" t="s">
        <v>28</v>
      </c>
      <c r="B3" s="3">
        <f>capex!B9</f>
        <v>93267.469125333329</v>
      </c>
      <c r="C3" s="2">
        <f>B3/Parameters!$B$2</f>
        <v>4857.6806836111109</v>
      </c>
      <c r="E3" s="13"/>
    </row>
    <row r="4" spans="1:6" x14ac:dyDescent="0.25">
      <c r="A4" s="12" t="s">
        <v>72</v>
      </c>
      <c r="B4" s="3">
        <v>20000</v>
      </c>
      <c r="C4" s="2">
        <f>B4/Parameters!$B$2</f>
        <v>1041.6666666666667</v>
      </c>
      <c r="D4" s="8">
        <v>0</v>
      </c>
      <c r="E4" s="13"/>
    </row>
    <row r="5" spans="1:6" x14ac:dyDescent="0.25">
      <c r="A5" s="14" t="s">
        <v>29</v>
      </c>
      <c r="B5" s="15">
        <v>40000</v>
      </c>
      <c r="C5" s="16">
        <f>B5/Parameters!$B$2</f>
        <v>2083.3333333333335</v>
      </c>
      <c r="D5" s="17">
        <v>0.1</v>
      </c>
      <c r="E5" s="18">
        <v>0.25</v>
      </c>
      <c r="F5" t="s">
        <v>164</v>
      </c>
    </row>
    <row r="6" spans="1:6" x14ac:dyDescent="0.25">
      <c r="B6" s="3"/>
      <c r="C6" s="3"/>
      <c r="D6" s="6"/>
      <c r="E6" s="6"/>
    </row>
    <row r="7" spans="1:6" x14ac:dyDescent="0.25">
      <c r="A7" s="1" t="s">
        <v>239</v>
      </c>
      <c r="B7" s="4">
        <f>B3-B4-B5</f>
        <v>33267.469125333329</v>
      </c>
      <c r="C7" s="5">
        <f>B7/Parameters!$B$2</f>
        <v>1732.6806836111109</v>
      </c>
    </row>
    <row r="8" spans="1:6" x14ac:dyDescent="0.25">
      <c r="A8" s="1" t="s">
        <v>240</v>
      </c>
      <c r="B8" s="4">
        <f>F8*B7</f>
        <v>8316.8672813333324</v>
      </c>
      <c r="C8" s="5"/>
      <c r="F8" s="8">
        <v>0.25</v>
      </c>
    </row>
    <row r="9" spans="1:6" x14ac:dyDescent="0.25">
      <c r="A9" t="s">
        <v>237</v>
      </c>
      <c r="B9" s="3">
        <f>F8*B7</f>
        <v>8316.8672813333324</v>
      </c>
      <c r="C9" s="2">
        <f>B9/Parameters!$B$2</f>
        <v>433.17017090277773</v>
      </c>
    </row>
    <row r="10" spans="1:6" x14ac:dyDescent="0.25">
      <c r="B10" s="3"/>
      <c r="C10" s="2"/>
      <c r="E10" s="3"/>
    </row>
    <row r="11" spans="1:6" x14ac:dyDescent="0.25">
      <c r="A11" s="1" t="s">
        <v>241</v>
      </c>
      <c r="B11" s="4">
        <f>B7-B8</f>
        <v>24950.601843999997</v>
      </c>
      <c r="C11" s="3"/>
      <c r="D11" s="6"/>
      <c r="F11" s="6">
        <f>100%-F8</f>
        <v>0.75</v>
      </c>
    </row>
    <row r="12" spans="1:6" x14ac:dyDescent="0.25">
      <c r="A12" t="s">
        <v>238</v>
      </c>
      <c r="B12" s="3">
        <f>B11*E12</f>
        <v>6237.6504609999993</v>
      </c>
      <c r="C12" s="2">
        <f>B12/Parameters!$B$2</f>
        <v>324.8776281770833</v>
      </c>
      <c r="E12" s="7">
        <f>100%-E13-E14</f>
        <v>0.25</v>
      </c>
    </row>
    <row r="13" spans="1:6" x14ac:dyDescent="0.25">
      <c r="A13" t="s">
        <v>30</v>
      </c>
      <c r="B13" s="3">
        <f>B11*E13</f>
        <v>2495.0601843999998</v>
      </c>
      <c r="C13" s="2">
        <f>B13/Parameters!$B$2</f>
        <v>129.95105127083332</v>
      </c>
      <c r="E13" s="8">
        <v>0.1</v>
      </c>
    </row>
    <row r="14" spans="1:6" x14ac:dyDescent="0.25">
      <c r="A14" t="s">
        <v>31</v>
      </c>
      <c r="B14" s="3">
        <f>E14*B11</f>
        <v>16217.891198599998</v>
      </c>
      <c r="C14" s="2">
        <f>B14/Parameters!$B$2</f>
        <v>844.68183326041662</v>
      </c>
      <c r="E14" s="8">
        <v>0.65</v>
      </c>
    </row>
    <row r="15" spans="1:6" x14ac:dyDescent="0.25">
      <c r="B15" s="3"/>
      <c r="C15" s="3"/>
      <c r="E15" s="6">
        <f>SUM(E12:E14)</f>
        <v>1</v>
      </c>
    </row>
  </sheetData>
  <mergeCells count="1">
    <mergeCell ref="A1:F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90FC6-7C51-4B85-8AB3-3A3DF812495E}">
  <dimension ref="A1:AC248"/>
  <sheetViews>
    <sheetView zoomScale="175" zoomScaleNormal="175" workbookViewId="0">
      <selection activeCell="W24" sqref="W24"/>
    </sheetView>
  </sheetViews>
  <sheetFormatPr defaultRowHeight="11.25" x14ac:dyDescent="0.2"/>
  <cols>
    <col min="1" max="1" width="14.140625" style="20" bestFit="1" customWidth="1"/>
    <col min="2" max="2" width="6.42578125" style="20" bestFit="1" customWidth="1"/>
    <col min="3" max="3" width="9" style="20" customWidth="1"/>
    <col min="4" max="9" width="6.7109375" style="20" customWidth="1"/>
    <col min="10" max="10" width="1.5703125" style="36" customWidth="1"/>
    <col min="11" max="11" width="12.42578125" style="20" customWidth="1"/>
    <col min="12" max="12" width="7.28515625" style="20" customWidth="1"/>
    <col min="13" max="19" width="6.7109375" style="20" customWidth="1"/>
    <col min="20" max="20" width="1.42578125" style="20" customWidth="1"/>
    <col min="21" max="21" width="19.42578125" style="20" customWidth="1"/>
    <col min="22" max="22" width="0.42578125" style="20" customWidth="1"/>
    <col min="23" max="24" width="8.7109375" style="20" customWidth="1"/>
    <col min="25" max="29" width="9.5703125" style="20" bestFit="1" customWidth="1"/>
    <col min="30" max="16384" width="9.140625" style="20"/>
  </cols>
  <sheetData>
    <row r="1" spans="1:29" ht="18.75" x14ac:dyDescent="0.2">
      <c r="A1" s="132" t="s">
        <v>48</v>
      </c>
      <c r="B1" s="133"/>
      <c r="C1" s="133"/>
      <c r="D1" s="133"/>
      <c r="E1" s="133"/>
      <c r="F1" s="133"/>
      <c r="G1" s="133"/>
      <c r="H1" s="133"/>
      <c r="I1" s="134"/>
      <c r="K1" s="132" t="s">
        <v>49</v>
      </c>
      <c r="L1" s="133"/>
      <c r="M1" s="133"/>
      <c r="N1" s="133"/>
      <c r="O1" s="133"/>
      <c r="P1" s="133"/>
      <c r="Q1" s="133"/>
      <c r="R1" s="133"/>
      <c r="S1" s="134"/>
      <c r="U1" s="132" t="s">
        <v>79</v>
      </c>
      <c r="V1" s="133"/>
      <c r="W1" s="133"/>
      <c r="X1" s="133"/>
      <c r="Y1" s="133"/>
      <c r="Z1" s="133"/>
      <c r="AA1" s="133"/>
      <c r="AB1" s="133"/>
      <c r="AC1" s="134"/>
    </row>
    <row r="2" spans="1:29" s="31" customFormat="1" x14ac:dyDescent="0.2">
      <c r="A2" s="29" t="s">
        <v>32</v>
      </c>
      <c r="B2" s="76" t="s">
        <v>33</v>
      </c>
      <c r="C2" s="76" t="s">
        <v>47</v>
      </c>
      <c r="D2" s="76" t="s">
        <v>34</v>
      </c>
      <c r="E2" s="76" t="s">
        <v>35</v>
      </c>
      <c r="F2" s="76" t="s">
        <v>36</v>
      </c>
      <c r="G2" s="76" t="s">
        <v>37</v>
      </c>
      <c r="H2" s="76" t="s">
        <v>38</v>
      </c>
      <c r="I2" s="77" t="s">
        <v>39</v>
      </c>
      <c r="K2" s="29" t="str">
        <f t="shared" ref="K2:S2" si="0">A2</f>
        <v>Equity Value</v>
      </c>
      <c r="L2" s="82" t="str">
        <f t="shared" si="0"/>
        <v>Stake</v>
      </c>
      <c r="M2" s="76" t="str">
        <f t="shared" si="0"/>
        <v>amount</v>
      </c>
      <c r="N2" s="76" t="str">
        <f t="shared" si="0"/>
        <v>Y1</v>
      </c>
      <c r="O2" s="76" t="str">
        <f t="shared" si="0"/>
        <v>Y2</v>
      </c>
      <c r="P2" s="76" t="str">
        <f t="shared" si="0"/>
        <v>Y3</v>
      </c>
      <c r="Q2" s="76" t="str">
        <f t="shared" si="0"/>
        <v>Y4</v>
      </c>
      <c r="R2" s="76" t="str">
        <f t="shared" si="0"/>
        <v>Y5</v>
      </c>
      <c r="S2" s="77" t="str">
        <f t="shared" si="0"/>
        <v>Y6</v>
      </c>
      <c r="U2" s="29"/>
      <c r="V2" s="67"/>
      <c r="W2" s="76" t="s">
        <v>75</v>
      </c>
      <c r="X2" s="76" t="str">
        <f t="shared" ref="X2" si="1">N2</f>
        <v>Y1</v>
      </c>
      <c r="Y2" s="76" t="str">
        <f t="shared" ref="Y2" si="2">O2</f>
        <v>Y2</v>
      </c>
      <c r="Z2" s="76" t="str">
        <f t="shared" ref="Z2" si="3">P2</f>
        <v>Y3</v>
      </c>
      <c r="AA2" s="76" t="str">
        <f t="shared" ref="AA2" si="4">Q2</f>
        <v>Y4</v>
      </c>
      <c r="AB2" s="76" t="str">
        <f t="shared" ref="AB2" si="5">R2</f>
        <v>Y5</v>
      </c>
      <c r="AC2" s="77" t="str">
        <f t="shared" ref="AC2" si="6">S2</f>
        <v>Y6</v>
      </c>
    </row>
    <row r="3" spans="1:29" s="36" customFormat="1" x14ac:dyDescent="0.2">
      <c r="A3" s="32" t="str">
        <f>'capital structure'!A14</f>
        <v>BFC</v>
      </c>
      <c r="B3" s="33">
        <f>'capital structure'!E14</f>
        <v>0.65</v>
      </c>
      <c r="C3" s="34">
        <f>'capital structure'!B14</f>
        <v>16217.891198599998</v>
      </c>
      <c r="D3" s="34">
        <f>$B3*'P&amp;L'!B$68</f>
        <v>18034.439584438336</v>
      </c>
      <c r="E3" s="34">
        <f>$B3*'P&amp;L'!C$68</f>
        <v>28425.556523750533</v>
      </c>
      <c r="F3" s="34">
        <f>$B3*'P&amp;L'!D$68</f>
        <v>40738.818063522136</v>
      </c>
      <c r="G3" s="34">
        <f>$B3*'P&amp;L'!E$68</f>
        <v>56543.351893135572</v>
      </c>
      <c r="H3" s="34">
        <f>$B3*'P&amp;L'!F$68</f>
        <v>73750.939637968317</v>
      </c>
      <c r="I3" s="35">
        <f>$B3*'P&amp;L'!G$68</f>
        <v>91502.874363967479</v>
      </c>
      <c r="K3" s="32" t="str">
        <f t="shared" ref="K3:L5" si="7">A3</f>
        <v>BFC</v>
      </c>
      <c r="L3" s="37">
        <f t="shared" si="7"/>
        <v>0.65</v>
      </c>
      <c r="M3" s="65">
        <f>C3/Parameters!$B$2</f>
        <v>844.68183326041662</v>
      </c>
      <c r="N3" s="65">
        <f>D3/Parameters!$B$2</f>
        <v>939.29372835616334</v>
      </c>
      <c r="O3" s="65">
        <f>E3/Parameters!$B$2</f>
        <v>1480.4977356120069</v>
      </c>
      <c r="P3" s="65">
        <f>F3/Parameters!$B$2</f>
        <v>2121.8134408084447</v>
      </c>
      <c r="Q3" s="65">
        <f>G3/Parameters!$B$2</f>
        <v>2944.9662444341443</v>
      </c>
      <c r="R3" s="65">
        <f>H3/Parameters!$B$2</f>
        <v>3841.1947728108498</v>
      </c>
      <c r="S3" s="38">
        <f>I3/Parameters!$B$2</f>
        <v>4765.7747064566402</v>
      </c>
      <c r="U3" s="71" t="s">
        <v>77</v>
      </c>
      <c r="V3" s="72"/>
      <c r="W3" s="70">
        <f>M20*1000</f>
        <v>758047.79907986103</v>
      </c>
      <c r="X3" s="70">
        <f t="shared" ref="X3:AC3" si="8">N20*1000</f>
        <v>820427.19975546876</v>
      </c>
      <c r="Y3" s="70">
        <f t="shared" si="8"/>
        <v>1056132.210030979</v>
      </c>
      <c r="Z3" s="70">
        <f t="shared" si="8"/>
        <v>1331994.6968865751</v>
      </c>
      <c r="AA3" s="70">
        <f t="shared" si="8"/>
        <v>1679546.6853063824</v>
      </c>
      <c r="AB3" s="70">
        <f t="shared" si="8"/>
        <v>2057062.0070827103</v>
      </c>
      <c r="AC3" s="75">
        <f t="shared" si="8"/>
        <v>2447450.4379988797</v>
      </c>
    </row>
    <row r="4" spans="1:29" s="36" customFormat="1" x14ac:dyDescent="0.2">
      <c r="A4" s="32" t="str">
        <f>'capital structure'!A13</f>
        <v>MBI</v>
      </c>
      <c r="B4" s="33">
        <f>'capital structure'!E13</f>
        <v>0.1</v>
      </c>
      <c r="C4" s="34">
        <f>'capital structure'!B13</f>
        <v>2495.0601843999998</v>
      </c>
      <c r="D4" s="34">
        <f>$B4*'P&amp;L'!B$68</f>
        <v>2774.5291668366672</v>
      </c>
      <c r="E4" s="34">
        <f>$B4*'P&amp;L'!C$68</f>
        <v>4373.1625421154667</v>
      </c>
      <c r="F4" s="34">
        <f>$B4*'P&amp;L'!D$68</f>
        <v>6267.5104713110986</v>
      </c>
      <c r="G4" s="34">
        <f>$B4*'P&amp;L'!E$68</f>
        <v>8698.97721432855</v>
      </c>
      <c r="H4" s="34">
        <f>$B4*'P&amp;L'!F$68</f>
        <v>11346.298405841279</v>
      </c>
      <c r="I4" s="35">
        <f>$B4*'P&amp;L'!G$68</f>
        <v>14077.365286764227</v>
      </c>
      <c r="K4" s="32" t="str">
        <f t="shared" si="7"/>
        <v>MBI</v>
      </c>
      <c r="L4" s="37">
        <f t="shared" si="7"/>
        <v>0.1</v>
      </c>
      <c r="M4" s="65">
        <f>C4/Parameters!$B$2</f>
        <v>129.95105127083332</v>
      </c>
      <c r="N4" s="65">
        <f>D4/Parameters!$B$2</f>
        <v>144.50672743940976</v>
      </c>
      <c r="O4" s="65">
        <f>E4/Parameters!$B$2</f>
        <v>227.76888240184724</v>
      </c>
      <c r="P4" s="65">
        <f>F4/Parameters!$B$2</f>
        <v>326.43283704745306</v>
      </c>
      <c r="Q4" s="65">
        <f>G4/Parameters!$B$2</f>
        <v>453.07172991294533</v>
      </c>
      <c r="R4" s="65">
        <f>H4/Parameters!$B$2</f>
        <v>590.9530419708999</v>
      </c>
      <c r="S4" s="38">
        <f>I4/Parameters!$B$2</f>
        <v>733.19610868563689</v>
      </c>
      <c r="U4" s="32" t="s">
        <v>78</v>
      </c>
      <c r="V4" s="37"/>
      <c r="W4" s="65"/>
      <c r="X4" s="65">
        <f>X3-W3</f>
        <v>62379.400675607729</v>
      </c>
      <c r="Y4" s="65">
        <f t="shared" ref="Y4:AC4" si="9">Y3-X3</f>
        <v>235705.01027551026</v>
      </c>
      <c r="Z4" s="65">
        <f t="shared" si="9"/>
        <v>275862.48685559607</v>
      </c>
      <c r="AA4" s="65">
        <f t="shared" si="9"/>
        <v>347551.98841980728</v>
      </c>
      <c r="AB4" s="65">
        <f t="shared" si="9"/>
        <v>377515.32177632791</v>
      </c>
      <c r="AC4" s="38">
        <f t="shared" si="9"/>
        <v>390388.43091616943</v>
      </c>
    </row>
    <row r="5" spans="1:29" s="36" customFormat="1" x14ac:dyDescent="0.2">
      <c r="A5" s="39" t="str">
        <f>'capital structure'!A12</f>
        <v>External investors - normal shares</v>
      </c>
      <c r="B5" s="40">
        <f>'capital structure'!E12</f>
        <v>0.25</v>
      </c>
      <c r="C5" s="41">
        <f>'capital structure'!B12</f>
        <v>6237.6504609999993</v>
      </c>
      <c r="D5" s="41">
        <f>$B5*'P&amp;L'!B$68</f>
        <v>6936.3229170916675</v>
      </c>
      <c r="E5" s="41">
        <f>$B5*'P&amp;L'!C$68</f>
        <v>10932.906355288666</v>
      </c>
      <c r="F5" s="41">
        <f>$B5*'P&amp;L'!D$68</f>
        <v>15668.776178277745</v>
      </c>
      <c r="G5" s="41">
        <f>$B5*'P&amp;L'!E$68</f>
        <v>21747.443035821372</v>
      </c>
      <c r="H5" s="41">
        <f>$B5*'P&amp;L'!F$68</f>
        <v>28365.746014603195</v>
      </c>
      <c r="I5" s="42">
        <f>$B5*'P&amp;L'!G$68</f>
        <v>35193.413216910565</v>
      </c>
      <c r="K5" s="39" t="str">
        <f t="shared" si="7"/>
        <v>External investors - normal shares</v>
      </c>
      <c r="L5" s="47">
        <f t="shared" si="7"/>
        <v>0.25</v>
      </c>
      <c r="M5" s="68">
        <f>C5/Parameters!$B$2</f>
        <v>324.8776281770833</v>
      </c>
      <c r="N5" s="68">
        <f>D5/Parameters!$B$2</f>
        <v>361.26681859852437</v>
      </c>
      <c r="O5" s="68">
        <f>E5/Parameters!$B$2</f>
        <v>569.42220600461803</v>
      </c>
      <c r="P5" s="68">
        <f>F5/Parameters!$B$2</f>
        <v>816.0820926186326</v>
      </c>
      <c r="Q5" s="68">
        <f>G5/Parameters!$B$2</f>
        <v>1132.6793247823632</v>
      </c>
      <c r="R5" s="68">
        <f>H5/Parameters!$B$2</f>
        <v>1477.3826049272498</v>
      </c>
      <c r="S5" s="69">
        <f>I5/Parameters!$B$2</f>
        <v>1832.9902717140919</v>
      </c>
      <c r="U5" s="32" t="s">
        <v>56</v>
      </c>
      <c r="V5" s="37"/>
      <c r="W5" s="65"/>
      <c r="X5" s="37">
        <f>N35</f>
        <v>8.2289531826972975E-2</v>
      </c>
      <c r="Y5" s="37">
        <f t="shared" ref="Y5:AC5" si="10">O35</f>
        <v>0.18008241057395938</v>
      </c>
      <c r="Z5" s="37">
        <f t="shared" si="10"/>
        <v>0.20650052428245547</v>
      </c>
      <c r="AA5" s="37">
        <f t="shared" si="10"/>
        <v>0.21987337470054621</v>
      </c>
      <c r="AB5" s="37">
        <f t="shared" si="10"/>
        <v>0.22085102200508117</v>
      </c>
      <c r="AC5" s="46">
        <f t="shared" si="10"/>
        <v>0.21551077961921694</v>
      </c>
    </row>
    <row r="6" spans="1:29" s="36" customFormat="1" x14ac:dyDescent="0.2">
      <c r="B6" s="33"/>
      <c r="C6" s="34"/>
      <c r="D6" s="34"/>
      <c r="E6" s="34"/>
      <c r="F6" s="34"/>
      <c r="G6" s="34"/>
      <c r="H6" s="34"/>
      <c r="I6" s="34"/>
      <c r="L6" s="37"/>
      <c r="M6" s="65"/>
      <c r="N6" s="65"/>
      <c r="O6" s="65"/>
      <c r="P6" s="65"/>
      <c r="Q6" s="65"/>
      <c r="R6" s="65"/>
      <c r="S6" s="65"/>
      <c r="U6" s="39" t="s">
        <v>44</v>
      </c>
      <c r="V6" s="47"/>
      <c r="W6" s="68"/>
      <c r="X6" s="54">
        <f>N40</f>
        <v>1.0822895347118289</v>
      </c>
      <c r="Y6" s="54">
        <f t="shared" ref="Y6:AC6" si="11">O40</f>
        <v>1.3932264051329493</v>
      </c>
      <c r="Z6" s="54">
        <f t="shared" si="11"/>
        <v>1.7571381362803062</v>
      </c>
      <c r="AA6" s="54">
        <f t="shared" si="11"/>
        <v>2.2156210826613592</v>
      </c>
      <c r="AB6" s="54">
        <f t="shared" si="11"/>
        <v>2.713631000023518</v>
      </c>
      <c r="AC6" s="55">
        <f t="shared" si="11"/>
        <v>3.2286228401027763</v>
      </c>
    </row>
    <row r="7" spans="1:29" s="31" customFormat="1" x14ac:dyDescent="0.2">
      <c r="A7" s="29" t="s">
        <v>40</v>
      </c>
      <c r="B7" s="76" t="s">
        <v>33</v>
      </c>
      <c r="C7" s="76" t="s">
        <v>47</v>
      </c>
      <c r="D7" s="76" t="s">
        <v>34</v>
      </c>
      <c r="E7" s="76" t="s">
        <v>35</v>
      </c>
      <c r="F7" s="76" t="s">
        <v>36</v>
      </c>
      <c r="G7" s="76" t="s">
        <v>37</v>
      </c>
      <c r="H7" s="76" t="s">
        <v>38</v>
      </c>
      <c r="I7" s="77" t="s">
        <v>39</v>
      </c>
      <c r="K7" s="29" t="str">
        <f t="shared" ref="K7:K25" si="12">A7</f>
        <v>Equity appreciation</v>
      </c>
      <c r="L7" s="82" t="str">
        <f t="shared" ref="L7:L15" si="13">B7</f>
        <v>Stake</v>
      </c>
      <c r="M7" s="78" t="str">
        <f t="shared" ref="M7" si="14">C7</f>
        <v>amount</v>
      </c>
      <c r="N7" s="78" t="str">
        <f t="shared" ref="N7" si="15">D7</f>
        <v>Y1</v>
      </c>
      <c r="O7" s="78" t="str">
        <f t="shared" ref="O7" si="16">E7</f>
        <v>Y2</v>
      </c>
      <c r="P7" s="78" t="str">
        <f t="shared" ref="P7" si="17">F7</f>
        <v>Y3</v>
      </c>
      <c r="Q7" s="78" t="str">
        <f t="shared" ref="Q7" si="18">G7</f>
        <v>Y4</v>
      </c>
      <c r="R7" s="78" t="str">
        <f t="shared" ref="R7" si="19">H7</f>
        <v>Y5</v>
      </c>
      <c r="S7" s="79" t="str">
        <f t="shared" ref="S7" si="20">I7</f>
        <v>Y6</v>
      </c>
      <c r="U7" s="36" t="s">
        <v>302</v>
      </c>
      <c r="V7" s="36"/>
      <c r="W7" s="36"/>
      <c r="X7" s="36"/>
      <c r="Y7" s="36"/>
      <c r="Z7" s="36"/>
      <c r="AA7" s="36"/>
      <c r="AB7" s="36"/>
      <c r="AC7" s="36"/>
    </row>
    <row r="8" spans="1:29" s="36" customFormat="1" x14ac:dyDescent="0.2">
      <c r="A8" s="32" t="str">
        <f t="shared" ref="A8:C10" si="21">A3</f>
        <v>BFC</v>
      </c>
      <c r="B8" s="33">
        <f t="shared" si="21"/>
        <v>0.65</v>
      </c>
      <c r="C8" s="34">
        <f t="shared" si="21"/>
        <v>16217.891198599998</v>
      </c>
      <c r="D8" s="34">
        <f>D3-C8</f>
        <v>1816.5483858383377</v>
      </c>
      <c r="E8" s="34">
        <f>E3-(C8+D8)</f>
        <v>10391.116939312196</v>
      </c>
      <c r="F8" s="34">
        <f>F3-(C8+D8+E8)</f>
        <v>12313.261539771604</v>
      </c>
      <c r="G8" s="34">
        <f>G3-(C8+D8+E8+F8)</f>
        <v>15804.533829613436</v>
      </c>
      <c r="H8" s="34">
        <f>H3-(C8+D8+E8+F8+G8)</f>
        <v>17207.587744832745</v>
      </c>
      <c r="I8" s="35">
        <f>I3-(C8+D8+E8+F8+G8+H8)</f>
        <v>17751.934725999163</v>
      </c>
      <c r="K8" s="32" t="str">
        <f t="shared" si="12"/>
        <v>BFC</v>
      </c>
      <c r="L8" s="37">
        <f t="shared" si="13"/>
        <v>0.65</v>
      </c>
      <c r="M8" s="65">
        <f>C8/Parameters!$B$2</f>
        <v>844.68183326041662</v>
      </c>
      <c r="N8" s="65">
        <f>D8/Parameters!$B$2</f>
        <v>94.61189509574676</v>
      </c>
      <c r="O8" s="65">
        <f>E8/Parameters!$B$2</f>
        <v>541.20400725584363</v>
      </c>
      <c r="P8" s="65">
        <f>F8/Parameters!$B$2</f>
        <v>641.31570519643776</v>
      </c>
      <c r="Q8" s="65">
        <f>G8/Parameters!$B$2</f>
        <v>823.15280362569979</v>
      </c>
      <c r="R8" s="65">
        <f>H8/Parameters!$B$2</f>
        <v>896.22852837670553</v>
      </c>
      <c r="S8" s="38">
        <f>I8/Parameters!$B$2</f>
        <v>924.57993364578977</v>
      </c>
      <c r="U8" s="31"/>
      <c r="V8" s="31"/>
      <c r="W8" s="31"/>
      <c r="X8" s="31"/>
      <c r="Y8" s="31"/>
      <c r="Z8" s="31"/>
      <c r="AA8" s="31"/>
      <c r="AB8" s="31"/>
      <c r="AC8" s="31"/>
    </row>
    <row r="9" spans="1:29" s="36" customFormat="1" x14ac:dyDescent="0.2">
      <c r="A9" s="32" t="str">
        <f t="shared" si="21"/>
        <v>MBI</v>
      </c>
      <c r="B9" s="33">
        <f t="shared" si="21"/>
        <v>0.1</v>
      </c>
      <c r="C9" s="34">
        <f t="shared" si="21"/>
        <v>2495.0601843999998</v>
      </c>
      <c r="D9" s="34">
        <f>D4-C9</f>
        <v>279.46898243666737</v>
      </c>
      <c r="E9" s="34">
        <f>E4-(C9+D9)</f>
        <v>1598.6333752787996</v>
      </c>
      <c r="F9" s="34">
        <f>F4-(C9+D9+E9)</f>
        <v>1894.3479291956319</v>
      </c>
      <c r="G9" s="34">
        <f>G4-(C9+D9+E9+F9)</f>
        <v>2431.4667430174513</v>
      </c>
      <c r="H9" s="34">
        <f>H4-(C9+D9+E9+F9+G9)</f>
        <v>2647.3211915127285</v>
      </c>
      <c r="I9" s="35">
        <f>I4-(C9+D9+E9+F9+G9+H9)</f>
        <v>2731.0668809229483</v>
      </c>
      <c r="K9" s="32" t="str">
        <f t="shared" si="12"/>
        <v>MBI</v>
      </c>
      <c r="L9" s="37">
        <f t="shared" si="13"/>
        <v>0.1</v>
      </c>
      <c r="M9" s="65">
        <f>C9/Parameters!$B$2</f>
        <v>129.95105127083332</v>
      </c>
      <c r="N9" s="65">
        <f>D9/Parameters!$B$2</f>
        <v>14.555676168576426</v>
      </c>
      <c r="O9" s="65">
        <f>E9/Parameters!$B$2</f>
        <v>83.262154962437478</v>
      </c>
      <c r="P9" s="65">
        <f>F9/Parameters!$B$2</f>
        <v>98.663954645605827</v>
      </c>
      <c r="Q9" s="65">
        <f>G9/Parameters!$B$2</f>
        <v>126.63889286549227</v>
      </c>
      <c r="R9" s="65">
        <f>H9/Parameters!$B$2</f>
        <v>137.88131205795463</v>
      </c>
      <c r="S9" s="38">
        <f>I9/Parameters!$B$2</f>
        <v>142.2430667147369</v>
      </c>
    </row>
    <row r="10" spans="1:29" s="36" customFormat="1" x14ac:dyDescent="0.2">
      <c r="A10" s="39" t="str">
        <f t="shared" si="21"/>
        <v>External investors - normal shares</v>
      </c>
      <c r="B10" s="40">
        <f t="shared" si="21"/>
        <v>0.25</v>
      </c>
      <c r="C10" s="41">
        <f t="shared" si="21"/>
        <v>6237.6504609999993</v>
      </c>
      <c r="D10" s="41">
        <f>D5-C10</f>
        <v>698.67245609166821</v>
      </c>
      <c r="E10" s="41">
        <f>E5-(C10+D10)</f>
        <v>3996.583438196998</v>
      </c>
      <c r="F10" s="41">
        <f>F5-(C10+D10+E10)</f>
        <v>4735.8698229890797</v>
      </c>
      <c r="G10" s="41">
        <f>G5-(C10+D10+E10+F10)</f>
        <v>6078.666857543627</v>
      </c>
      <c r="H10" s="41">
        <f>H5-(C10+D10+E10+F10+G10)</f>
        <v>6618.3029787818232</v>
      </c>
      <c r="I10" s="42">
        <f>I5-(C10+D10+E10+F10+G10+H10)</f>
        <v>6827.6672023073697</v>
      </c>
      <c r="K10" s="39" t="str">
        <f t="shared" si="12"/>
        <v>External investors - normal shares</v>
      </c>
      <c r="L10" s="47">
        <f t="shared" si="13"/>
        <v>0.25</v>
      </c>
      <c r="M10" s="68">
        <f>C10/Parameters!$B$2</f>
        <v>324.8776281770833</v>
      </c>
      <c r="N10" s="68">
        <f>D10/Parameters!$B$2</f>
        <v>36.389190421441057</v>
      </c>
      <c r="O10" s="68">
        <f>E10/Parameters!$B$2</f>
        <v>208.15538740609367</v>
      </c>
      <c r="P10" s="68">
        <f>F10/Parameters!$B$2</f>
        <v>246.65988661401457</v>
      </c>
      <c r="Q10" s="68">
        <f>G10/Parameters!$B$2</f>
        <v>316.59723216373061</v>
      </c>
      <c r="R10" s="68">
        <f>H10/Parameters!$B$2</f>
        <v>344.70328014488666</v>
      </c>
      <c r="S10" s="69">
        <f>I10/Parameters!$B$2</f>
        <v>355.60766678684217</v>
      </c>
    </row>
    <row r="11" spans="1:29" s="36" customFormat="1" x14ac:dyDescent="0.2">
      <c r="B11" s="33"/>
      <c r="C11" s="34"/>
      <c r="D11" s="34"/>
      <c r="E11" s="34"/>
      <c r="F11" s="34"/>
      <c r="G11" s="34"/>
      <c r="H11" s="34"/>
      <c r="I11" s="34"/>
      <c r="L11" s="37"/>
      <c r="M11" s="65"/>
      <c r="N11" s="65"/>
      <c r="O11" s="65"/>
      <c r="P11" s="65"/>
      <c r="Q11" s="65"/>
      <c r="R11" s="65"/>
      <c r="S11" s="65"/>
    </row>
    <row r="12" spans="1:29" s="31" customFormat="1" x14ac:dyDescent="0.2">
      <c r="A12" s="29" t="s">
        <v>55</v>
      </c>
      <c r="B12" s="76" t="s">
        <v>41</v>
      </c>
      <c r="C12" s="76" t="s">
        <v>47</v>
      </c>
      <c r="D12" s="76" t="s">
        <v>34</v>
      </c>
      <c r="E12" s="76" t="s">
        <v>35</v>
      </c>
      <c r="F12" s="76" t="s">
        <v>36</v>
      </c>
      <c r="G12" s="76" t="s">
        <v>37</v>
      </c>
      <c r="H12" s="76" t="s">
        <v>38</v>
      </c>
      <c r="I12" s="77" t="s">
        <v>39</v>
      </c>
      <c r="K12" s="29" t="str">
        <f t="shared" si="12"/>
        <v>Loan Value</v>
      </c>
      <c r="L12" s="82" t="str">
        <f t="shared" si="13"/>
        <v>Interest</v>
      </c>
      <c r="M12" s="78" t="str">
        <f t="shared" ref="M12" si="22">C12</f>
        <v>amount</v>
      </c>
      <c r="N12" s="78" t="str">
        <f t="shared" ref="N12" si="23">D12</f>
        <v>Y1</v>
      </c>
      <c r="O12" s="78" t="str">
        <f t="shared" ref="O12" si="24">E12</f>
        <v>Y2</v>
      </c>
      <c r="P12" s="78" t="str">
        <f t="shared" ref="P12" si="25">F12</f>
        <v>Y3</v>
      </c>
      <c r="Q12" s="78" t="str">
        <f t="shared" ref="Q12" si="26">G12</f>
        <v>Y4</v>
      </c>
      <c r="R12" s="78" t="str">
        <f t="shared" ref="R12" si="27">H12</f>
        <v>Y5</v>
      </c>
      <c r="S12" s="79" t="str">
        <f t="shared" ref="S12" si="28">I12</f>
        <v>Y6</v>
      </c>
      <c r="U12" s="36"/>
      <c r="V12" s="36"/>
      <c r="W12" s="36"/>
      <c r="X12" s="36"/>
      <c r="Y12" s="36"/>
      <c r="Z12" s="36"/>
      <c r="AA12" s="36"/>
      <c r="AB12" s="36"/>
      <c r="AC12" s="36"/>
    </row>
    <row r="13" spans="1:29" s="31" customFormat="1" x14ac:dyDescent="0.2">
      <c r="A13" s="32" t="str">
        <f>A3</f>
        <v>BFC</v>
      </c>
      <c r="B13" s="36"/>
      <c r="C13" s="34">
        <v>0</v>
      </c>
      <c r="D13" s="34">
        <f>C13</f>
        <v>0</v>
      </c>
      <c r="E13" s="34">
        <f t="shared" ref="E13:H13" si="29">D13</f>
        <v>0</v>
      </c>
      <c r="F13" s="34">
        <f t="shared" si="29"/>
        <v>0</v>
      </c>
      <c r="G13" s="34">
        <f t="shared" si="29"/>
        <v>0</v>
      </c>
      <c r="H13" s="34">
        <f t="shared" si="29"/>
        <v>0</v>
      </c>
      <c r="I13" s="35">
        <f>H13</f>
        <v>0</v>
      </c>
      <c r="J13" s="36"/>
      <c r="K13" s="32" t="str">
        <f>A13</f>
        <v>BFC</v>
      </c>
      <c r="L13" s="34"/>
      <c r="M13" s="73">
        <f>C13/Parameters!$B$2</f>
        <v>0</v>
      </c>
      <c r="N13" s="73">
        <f>D13/Parameters!$B$2</f>
        <v>0</v>
      </c>
      <c r="O13" s="73">
        <f>E13/Parameters!$B$2</f>
        <v>0</v>
      </c>
      <c r="P13" s="73">
        <f>F13/Parameters!$B$2</f>
        <v>0</v>
      </c>
      <c r="Q13" s="73">
        <f>G13/Parameters!$B$2</f>
        <v>0</v>
      </c>
      <c r="R13" s="73">
        <f>H13/Parameters!$B$2</f>
        <v>0</v>
      </c>
      <c r="S13" s="74">
        <f>I13/Parameters!$B$2</f>
        <v>0</v>
      </c>
      <c r="U13" s="36"/>
      <c r="V13" s="36"/>
      <c r="W13" s="36"/>
      <c r="X13" s="36"/>
      <c r="Y13" s="36"/>
      <c r="Z13" s="36"/>
      <c r="AA13" s="36"/>
      <c r="AB13" s="36"/>
      <c r="AC13" s="36"/>
    </row>
    <row r="14" spans="1:29" s="31" customFormat="1" x14ac:dyDescent="0.2">
      <c r="A14" s="32" t="str">
        <f>A4</f>
        <v>MBI</v>
      </c>
      <c r="B14" s="36"/>
      <c r="C14" s="34">
        <v>0</v>
      </c>
      <c r="D14" s="34">
        <f>C14</f>
        <v>0</v>
      </c>
      <c r="E14" s="34">
        <f t="shared" ref="E14:H14" si="30">D14</f>
        <v>0</v>
      </c>
      <c r="F14" s="34">
        <f t="shared" si="30"/>
        <v>0</v>
      </c>
      <c r="G14" s="34">
        <f t="shared" si="30"/>
        <v>0</v>
      </c>
      <c r="H14" s="34">
        <f t="shared" si="30"/>
        <v>0</v>
      </c>
      <c r="I14" s="35">
        <f>H14</f>
        <v>0</v>
      </c>
      <c r="J14" s="36"/>
      <c r="K14" s="32" t="str">
        <f>A14</f>
        <v>MBI</v>
      </c>
      <c r="L14" s="34"/>
      <c r="M14" s="73">
        <f>C14/Parameters!$B$2</f>
        <v>0</v>
      </c>
      <c r="N14" s="73">
        <f>D14/Parameters!$B$2</f>
        <v>0</v>
      </c>
      <c r="O14" s="73">
        <f>E14/Parameters!$B$2</f>
        <v>0</v>
      </c>
      <c r="P14" s="73">
        <f>F14/Parameters!$B$2</f>
        <v>0</v>
      </c>
      <c r="Q14" s="73">
        <f>G14/Parameters!$B$2</f>
        <v>0</v>
      </c>
      <c r="R14" s="73">
        <f>H14/Parameters!$B$2</f>
        <v>0</v>
      </c>
      <c r="S14" s="74">
        <f>I14/Parameters!$B$2</f>
        <v>0</v>
      </c>
      <c r="U14" s="36"/>
      <c r="V14" s="36"/>
      <c r="W14" s="36"/>
      <c r="X14" s="36"/>
      <c r="Y14" s="36"/>
      <c r="Z14" s="36"/>
      <c r="AA14" s="36"/>
      <c r="AB14" s="36"/>
      <c r="AC14" s="36"/>
    </row>
    <row r="15" spans="1:29" s="36" customFormat="1" x14ac:dyDescent="0.2">
      <c r="A15" s="39" t="str">
        <f>'capital structure'!A9</f>
        <v>External investors - Cumprefs (6%)</v>
      </c>
      <c r="B15" s="40">
        <f>Parameters!B7</f>
        <v>0.06</v>
      </c>
      <c r="C15" s="41">
        <f>'capital structure'!B9</f>
        <v>8316.8672813333324</v>
      </c>
      <c r="D15" s="41">
        <f>C15+(C15*$B$15)</f>
        <v>8815.8793182133322</v>
      </c>
      <c r="E15" s="41">
        <f>D15+(D15*$B$15)</f>
        <v>9344.8320773061314</v>
      </c>
      <c r="F15" s="41">
        <f t="shared" ref="F15:I15" si="31">E15+(E15*$B$15)</f>
        <v>9905.5220019444987</v>
      </c>
      <c r="G15" s="41">
        <f t="shared" si="31"/>
        <v>10499.853322061168</v>
      </c>
      <c r="H15" s="41">
        <f t="shared" si="31"/>
        <v>11129.844521384837</v>
      </c>
      <c r="I15" s="42">
        <f t="shared" si="31"/>
        <v>11797.635192667927</v>
      </c>
      <c r="K15" s="39" t="str">
        <f t="shared" si="12"/>
        <v>External investors - Cumprefs (6%)</v>
      </c>
      <c r="L15" s="47">
        <f t="shared" si="13"/>
        <v>0.06</v>
      </c>
      <c r="M15" s="68">
        <f>C15/Parameters!$B$2</f>
        <v>433.17017090277773</v>
      </c>
      <c r="N15" s="68">
        <f>D15/Parameters!$B$2</f>
        <v>459.16038115694442</v>
      </c>
      <c r="O15" s="68">
        <f>E15/Parameters!$B$2</f>
        <v>486.71000402636105</v>
      </c>
      <c r="P15" s="68">
        <f>F15/Parameters!$B$2</f>
        <v>515.9126042679427</v>
      </c>
      <c r="Q15" s="68">
        <f>G15/Parameters!$B$2</f>
        <v>546.8673605240192</v>
      </c>
      <c r="R15" s="68">
        <f>H15/Parameters!$B$2</f>
        <v>579.67940215546025</v>
      </c>
      <c r="S15" s="69">
        <f>I15/Parameters!$B$2</f>
        <v>614.46016628478787</v>
      </c>
      <c r="U15" s="31"/>
      <c r="V15" s="31"/>
      <c r="W15" s="31"/>
      <c r="X15" s="31"/>
      <c r="Y15" s="31"/>
      <c r="Z15" s="31"/>
      <c r="AA15" s="31"/>
      <c r="AB15" s="31"/>
      <c r="AC15" s="31"/>
    </row>
    <row r="16" spans="1:29" s="36" customFormat="1" x14ac:dyDescent="0.2">
      <c r="B16" s="33"/>
      <c r="C16" s="34"/>
      <c r="D16" s="34"/>
      <c r="E16" s="34"/>
      <c r="F16" s="34"/>
      <c r="G16" s="34"/>
      <c r="H16" s="34"/>
      <c r="I16" s="34"/>
      <c r="M16" s="65"/>
      <c r="N16" s="65"/>
      <c r="O16" s="65"/>
      <c r="P16" s="65"/>
      <c r="Q16" s="65"/>
      <c r="R16" s="65"/>
      <c r="S16" s="65"/>
    </row>
    <row r="17" spans="1:29" s="31" customFormat="1" x14ac:dyDescent="0.2">
      <c r="A17" s="29" t="s">
        <v>76</v>
      </c>
      <c r="B17" s="43"/>
      <c r="C17" s="76" t="s">
        <v>47</v>
      </c>
      <c r="D17" s="76" t="s">
        <v>34</v>
      </c>
      <c r="E17" s="76" t="s">
        <v>35</v>
      </c>
      <c r="F17" s="76" t="s">
        <v>36</v>
      </c>
      <c r="G17" s="76" t="s">
        <v>37</v>
      </c>
      <c r="H17" s="76" t="s">
        <v>38</v>
      </c>
      <c r="I17" s="77" t="s">
        <v>39</v>
      </c>
      <c r="K17" s="29" t="str">
        <f t="shared" si="12"/>
        <v>Total Value</v>
      </c>
      <c r="L17" s="30"/>
      <c r="M17" s="80" t="str">
        <f t="shared" ref="M17" si="32">C17</f>
        <v>amount</v>
      </c>
      <c r="N17" s="80" t="str">
        <f t="shared" ref="N17" si="33">D17</f>
        <v>Y1</v>
      </c>
      <c r="O17" s="80" t="str">
        <f t="shared" ref="O17" si="34">E17</f>
        <v>Y2</v>
      </c>
      <c r="P17" s="80" t="str">
        <f t="shared" ref="P17" si="35">F17</f>
        <v>Y3</v>
      </c>
      <c r="Q17" s="80" t="str">
        <f t="shared" ref="Q17" si="36">G17</f>
        <v>Y4</v>
      </c>
      <c r="R17" s="80" t="str">
        <f t="shared" ref="R17" si="37">H17</f>
        <v>Y5</v>
      </c>
      <c r="S17" s="81" t="str">
        <f t="shared" ref="S17" si="38">I17</f>
        <v>Y6</v>
      </c>
      <c r="U17" s="36"/>
      <c r="V17" s="36"/>
      <c r="W17" s="36"/>
      <c r="X17" s="36"/>
      <c r="Y17" s="36"/>
      <c r="Z17" s="36"/>
      <c r="AA17" s="36"/>
      <c r="AB17" s="36"/>
      <c r="AC17" s="36"/>
    </row>
    <row r="18" spans="1:29" s="36" customFormat="1" x14ac:dyDescent="0.2">
      <c r="A18" s="32" t="str">
        <f>A3</f>
        <v>BFC</v>
      </c>
      <c r="B18" s="33"/>
      <c r="C18" s="34">
        <f>C3+C13</f>
        <v>16217.891198599998</v>
      </c>
      <c r="D18" s="34">
        <f>D13+D3</f>
        <v>18034.439584438336</v>
      </c>
      <c r="E18" s="34">
        <f t="shared" ref="E18:I18" si="39">E13+E3</f>
        <v>28425.556523750533</v>
      </c>
      <c r="F18" s="34">
        <f t="shared" si="39"/>
        <v>40738.818063522136</v>
      </c>
      <c r="G18" s="34">
        <f t="shared" si="39"/>
        <v>56543.351893135572</v>
      </c>
      <c r="H18" s="34">
        <f t="shared" si="39"/>
        <v>73750.939637968317</v>
      </c>
      <c r="I18" s="35">
        <f t="shared" si="39"/>
        <v>91502.874363967479</v>
      </c>
      <c r="K18" s="32" t="str">
        <f t="shared" si="12"/>
        <v>BFC</v>
      </c>
      <c r="M18" s="65">
        <f>C18/Parameters!$B$2</f>
        <v>844.68183326041662</v>
      </c>
      <c r="N18" s="65">
        <f>D18/Parameters!$B$2</f>
        <v>939.29372835616334</v>
      </c>
      <c r="O18" s="65">
        <f>E18/Parameters!$B$2</f>
        <v>1480.4977356120069</v>
      </c>
      <c r="P18" s="65">
        <f>F18/Parameters!$B$2</f>
        <v>2121.8134408084447</v>
      </c>
      <c r="Q18" s="65">
        <f>G18/Parameters!$B$2</f>
        <v>2944.9662444341443</v>
      </c>
      <c r="R18" s="65">
        <f>H18/Parameters!$B$2</f>
        <v>3841.1947728108498</v>
      </c>
      <c r="S18" s="38">
        <f>I18/Parameters!$B$2</f>
        <v>4765.7747064566402</v>
      </c>
      <c r="U18" s="31"/>
      <c r="V18" s="31"/>
      <c r="W18" s="31"/>
      <c r="X18" s="31"/>
      <c r="Y18" s="31"/>
      <c r="Z18" s="31"/>
      <c r="AA18" s="31"/>
      <c r="AB18" s="31"/>
      <c r="AC18" s="31"/>
    </row>
    <row r="19" spans="1:29" s="36" customFormat="1" x14ac:dyDescent="0.2">
      <c r="A19" s="32" t="str">
        <f>A4</f>
        <v>MBI</v>
      </c>
      <c r="B19" s="33"/>
      <c r="C19" s="34">
        <f>C4+C14</f>
        <v>2495.0601843999998</v>
      </c>
      <c r="D19" s="34">
        <f>D14+D4</f>
        <v>2774.5291668366672</v>
      </c>
      <c r="E19" s="34">
        <f t="shared" ref="E19:I19" si="40">E14+E4</f>
        <v>4373.1625421154667</v>
      </c>
      <c r="F19" s="34">
        <f t="shared" si="40"/>
        <v>6267.5104713110986</v>
      </c>
      <c r="G19" s="34">
        <f t="shared" si="40"/>
        <v>8698.97721432855</v>
      </c>
      <c r="H19" s="34">
        <f t="shared" si="40"/>
        <v>11346.298405841279</v>
      </c>
      <c r="I19" s="35">
        <f t="shared" si="40"/>
        <v>14077.365286764227</v>
      </c>
      <c r="K19" s="32" t="str">
        <f t="shared" si="12"/>
        <v>MBI</v>
      </c>
      <c r="M19" s="65">
        <f>C19/Parameters!$B$2</f>
        <v>129.95105127083332</v>
      </c>
      <c r="N19" s="65">
        <f>D19/Parameters!$B$2</f>
        <v>144.50672743940976</v>
      </c>
      <c r="O19" s="65">
        <f>E19/Parameters!$B$2</f>
        <v>227.76888240184724</v>
      </c>
      <c r="P19" s="65">
        <f>F19/Parameters!$B$2</f>
        <v>326.43283704745306</v>
      </c>
      <c r="Q19" s="65">
        <f>G19/Parameters!$B$2</f>
        <v>453.07172991294533</v>
      </c>
      <c r="R19" s="65">
        <f>H19/Parameters!$B$2</f>
        <v>590.9530419708999</v>
      </c>
      <c r="S19" s="38">
        <f>I19/Parameters!$B$2</f>
        <v>733.19610868563689</v>
      </c>
    </row>
    <row r="20" spans="1:29" s="36" customFormat="1" x14ac:dyDescent="0.2">
      <c r="A20" s="39" t="str">
        <f>A5</f>
        <v>External investors - normal shares</v>
      </c>
      <c r="B20" s="44"/>
      <c r="C20" s="41">
        <f>C5+C15</f>
        <v>14554.517742333332</v>
      </c>
      <c r="D20" s="41">
        <f>D15+D5</f>
        <v>15752.202235305</v>
      </c>
      <c r="E20" s="41">
        <f t="shared" ref="E20:I20" si="41">E15+E5</f>
        <v>20277.738432594797</v>
      </c>
      <c r="F20" s="41">
        <f t="shared" si="41"/>
        <v>25574.298180222242</v>
      </c>
      <c r="G20" s="41">
        <f t="shared" si="41"/>
        <v>32247.29635788254</v>
      </c>
      <c r="H20" s="41">
        <f t="shared" si="41"/>
        <v>39495.590535988034</v>
      </c>
      <c r="I20" s="42">
        <f t="shared" si="41"/>
        <v>46991.048409578492</v>
      </c>
      <c r="K20" s="39" t="str">
        <f t="shared" si="12"/>
        <v>External investors - normal shares</v>
      </c>
      <c r="L20" s="44"/>
      <c r="M20" s="68">
        <f>C20/Parameters!$B$2</f>
        <v>758.04779907986108</v>
      </c>
      <c r="N20" s="68">
        <f>D20/Parameters!$B$2</f>
        <v>820.42719975546879</v>
      </c>
      <c r="O20" s="68">
        <f>E20/Parameters!$B$2</f>
        <v>1056.132210030979</v>
      </c>
      <c r="P20" s="68">
        <f>F20/Parameters!$B$2</f>
        <v>1331.9946968865752</v>
      </c>
      <c r="Q20" s="68">
        <f>G20/Parameters!$B$2</f>
        <v>1679.5466853063824</v>
      </c>
      <c r="R20" s="68">
        <f>H20/Parameters!$B$2</f>
        <v>2057.0620070827104</v>
      </c>
      <c r="S20" s="69">
        <f>I20/Parameters!$B$2</f>
        <v>2447.4504379988798</v>
      </c>
    </row>
    <row r="21" spans="1:29" s="36" customFormat="1" x14ac:dyDescent="0.2">
      <c r="B21" s="33"/>
      <c r="D21" s="45"/>
      <c r="E21" s="45"/>
      <c r="F21" s="45"/>
      <c r="G21" s="45"/>
      <c r="H21" s="45"/>
      <c r="I21" s="45"/>
      <c r="M21" s="65"/>
      <c r="N21" s="65"/>
      <c r="O21" s="65"/>
      <c r="P21" s="65"/>
      <c r="Q21" s="65"/>
      <c r="R21" s="65"/>
      <c r="S21" s="65"/>
    </row>
    <row r="22" spans="1:29" s="31" customFormat="1" x14ac:dyDescent="0.2">
      <c r="A22" s="29" t="s">
        <v>42</v>
      </c>
      <c r="B22" s="43"/>
      <c r="C22" s="76" t="str">
        <f>C2</f>
        <v>amount</v>
      </c>
      <c r="D22" s="76" t="s">
        <v>34</v>
      </c>
      <c r="E22" s="76" t="s">
        <v>35</v>
      </c>
      <c r="F22" s="76" t="s">
        <v>36</v>
      </c>
      <c r="G22" s="76" t="s">
        <v>37</v>
      </c>
      <c r="H22" s="76" t="s">
        <v>38</v>
      </c>
      <c r="I22" s="77" t="s">
        <v>39</v>
      </c>
      <c r="K22" s="29" t="str">
        <f t="shared" si="12"/>
        <v>Annual yield</v>
      </c>
      <c r="L22" s="30"/>
      <c r="M22" s="80" t="str">
        <f t="shared" ref="M22" si="42">C22</f>
        <v>amount</v>
      </c>
      <c r="N22" s="80" t="str">
        <f t="shared" ref="N22" si="43">D22</f>
        <v>Y1</v>
      </c>
      <c r="O22" s="80" t="str">
        <f t="shared" ref="O22" si="44">E22</f>
        <v>Y2</v>
      </c>
      <c r="P22" s="80" t="str">
        <f t="shared" ref="P22" si="45">F22</f>
        <v>Y3</v>
      </c>
      <c r="Q22" s="80" t="str">
        <f t="shared" ref="Q22" si="46">G22</f>
        <v>Y4</v>
      </c>
      <c r="R22" s="80" t="str">
        <f t="shared" ref="R22" si="47">H22</f>
        <v>Y5</v>
      </c>
      <c r="S22" s="81" t="str">
        <f t="shared" ref="S22" si="48">I22</f>
        <v>Y6</v>
      </c>
      <c r="U22" s="36"/>
      <c r="V22" s="36"/>
      <c r="W22" s="36"/>
      <c r="X22" s="36"/>
      <c r="Y22" s="36"/>
      <c r="Z22" s="36"/>
      <c r="AA22" s="36"/>
      <c r="AB22" s="36"/>
      <c r="AC22" s="36"/>
    </row>
    <row r="23" spans="1:29" s="36" customFormat="1" x14ac:dyDescent="0.2">
      <c r="A23" s="32" t="s">
        <v>31</v>
      </c>
      <c r="C23" s="34">
        <f>C3</f>
        <v>16217.891198599998</v>
      </c>
      <c r="D23" s="34">
        <f>D18-C$18</f>
        <v>1816.5483858383377</v>
      </c>
      <c r="E23" s="34">
        <f t="shared" ref="E23:I23" si="49">E18-D$18</f>
        <v>10391.116939312196</v>
      </c>
      <c r="F23" s="34">
        <f t="shared" si="49"/>
        <v>12313.261539771604</v>
      </c>
      <c r="G23" s="34">
        <f t="shared" si="49"/>
        <v>15804.533829613436</v>
      </c>
      <c r="H23" s="34">
        <f t="shared" si="49"/>
        <v>17207.587744832745</v>
      </c>
      <c r="I23" s="35">
        <f t="shared" si="49"/>
        <v>17751.934725999163</v>
      </c>
      <c r="K23" s="32" t="str">
        <f t="shared" si="12"/>
        <v>BFC</v>
      </c>
      <c r="M23" s="65">
        <f>C23/Parameters!$B$2</f>
        <v>844.68183326041662</v>
      </c>
      <c r="N23" s="65">
        <f>D23/Parameters!$B$2</f>
        <v>94.61189509574676</v>
      </c>
      <c r="O23" s="65">
        <f>E23/Parameters!$B$2</f>
        <v>541.20400725584363</v>
      </c>
      <c r="P23" s="65">
        <f>F23/Parameters!$B$2</f>
        <v>641.31570519643776</v>
      </c>
      <c r="Q23" s="65">
        <f>G23/Parameters!$B$2</f>
        <v>823.15280362569979</v>
      </c>
      <c r="R23" s="65">
        <f>H23/Parameters!$B$2</f>
        <v>896.22852837670553</v>
      </c>
      <c r="S23" s="38">
        <f>I23/Parameters!$B$2</f>
        <v>924.57993364578977</v>
      </c>
      <c r="U23" s="31"/>
      <c r="V23" s="31"/>
      <c r="W23" s="31"/>
      <c r="X23" s="31"/>
      <c r="Y23" s="31"/>
      <c r="Z23" s="31"/>
      <c r="AA23" s="31"/>
      <c r="AB23" s="31"/>
      <c r="AC23" s="31"/>
    </row>
    <row r="24" spans="1:29" s="36" customFormat="1" x14ac:dyDescent="0.2">
      <c r="A24" s="32" t="s">
        <v>30</v>
      </c>
      <c r="C24" s="34">
        <f>C4</f>
        <v>2495.0601843999998</v>
      </c>
      <c r="D24" s="34">
        <f>D19-C$19</f>
        <v>279.46898243666737</v>
      </c>
      <c r="E24" s="34">
        <f t="shared" ref="E24:I24" si="50">E19-D$19</f>
        <v>1598.6333752787996</v>
      </c>
      <c r="F24" s="34">
        <f t="shared" si="50"/>
        <v>1894.3479291956319</v>
      </c>
      <c r="G24" s="34">
        <f t="shared" si="50"/>
        <v>2431.4667430174513</v>
      </c>
      <c r="H24" s="34">
        <f t="shared" si="50"/>
        <v>2647.3211915127285</v>
      </c>
      <c r="I24" s="35">
        <f t="shared" si="50"/>
        <v>2731.0668809229483</v>
      </c>
      <c r="K24" s="32" t="str">
        <f t="shared" si="12"/>
        <v>MBI</v>
      </c>
      <c r="M24" s="65">
        <f>C24/Parameters!$B$2</f>
        <v>129.95105127083332</v>
      </c>
      <c r="N24" s="65">
        <f>D24/Parameters!$B$2</f>
        <v>14.555676168576426</v>
      </c>
      <c r="O24" s="65">
        <f>E24/Parameters!$B$2</f>
        <v>83.262154962437478</v>
      </c>
      <c r="P24" s="65">
        <f>F24/Parameters!$B$2</f>
        <v>98.663954645605827</v>
      </c>
      <c r="Q24" s="65">
        <f>G24/Parameters!$B$2</f>
        <v>126.63889286549227</v>
      </c>
      <c r="R24" s="65">
        <f>H24/Parameters!$B$2</f>
        <v>137.88131205795463</v>
      </c>
      <c r="S24" s="38">
        <f>I24/Parameters!$B$2</f>
        <v>142.2430667147369</v>
      </c>
    </row>
    <row r="25" spans="1:29" s="36" customFormat="1" x14ac:dyDescent="0.2">
      <c r="A25" s="39" t="str">
        <f>A5</f>
        <v>External investors - normal shares</v>
      </c>
      <c r="B25" s="44"/>
      <c r="C25" s="41">
        <f>C20</f>
        <v>14554.517742333332</v>
      </c>
      <c r="D25" s="41">
        <f>D20-C$20</f>
        <v>1197.6844929716681</v>
      </c>
      <c r="E25" s="41">
        <f t="shared" ref="E25:I25" si="51">E20-D$20</f>
        <v>4525.5361972897972</v>
      </c>
      <c r="F25" s="41">
        <f t="shared" si="51"/>
        <v>5296.5597476274452</v>
      </c>
      <c r="G25" s="41">
        <f t="shared" si="51"/>
        <v>6672.9981776602981</v>
      </c>
      <c r="H25" s="41">
        <f t="shared" si="51"/>
        <v>7248.2941781054942</v>
      </c>
      <c r="I25" s="42">
        <f t="shared" si="51"/>
        <v>7495.4578735904579</v>
      </c>
      <c r="K25" s="39" t="str">
        <f t="shared" si="12"/>
        <v>External investors - normal shares</v>
      </c>
      <c r="L25" s="44"/>
      <c r="M25" s="68">
        <f>C25/Parameters!$B$2</f>
        <v>758.04779907986108</v>
      </c>
      <c r="N25" s="68">
        <f>D25/Parameters!$B$2</f>
        <v>62.379400675607712</v>
      </c>
      <c r="O25" s="68">
        <f>E25/Parameters!$B$2</f>
        <v>235.70501027551029</v>
      </c>
      <c r="P25" s="68">
        <f>F25/Parameters!$B$2</f>
        <v>275.8624868555961</v>
      </c>
      <c r="Q25" s="68">
        <f>G25/Parameters!$B$2</f>
        <v>347.55198841980723</v>
      </c>
      <c r="R25" s="68">
        <f>H25/Parameters!$B$2</f>
        <v>377.51532177632782</v>
      </c>
      <c r="S25" s="69">
        <f>I25/Parameters!$B$2</f>
        <v>390.38843091616968</v>
      </c>
    </row>
    <row r="26" spans="1:29" s="36" customFormat="1" x14ac:dyDescent="0.2"/>
    <row r="27" spans="1:29" s="36" customFormat="1" x14ac:dyDescent="0.2">
      <c r="A27" s="29" t="s">
        <v>43</v>
      </c>
      <c r="B27" s="43"/>
      <c r="C27" s="76" t="str">
        <f>C7</f>
        <v>amount</v>
      </c>
      <c r="D27" s="76" t="s">
        <v>34</v>
      </c>
      <c r="E27" s="76" t="s">
        <v>35</v>
      </c>
      <c r="F27" s="76" t="s">
        <v>36</v>
      </c>
      <c r="G27" s="76" t="s">
        <v>37</v>
      </c>
      <c r="H27" s="76" t="s">
        <v>38</v>
      </c>
      <c r="I27" s="77" t="s">
        <v>39</v>
      </c>
      <c r="K27" s="29" t="str">
        <f>A27</f>
        <v>Annual ROIC</v>
      </c>
      <c r="L27" s="30"/>
      <c r="M27" s="76" t="str">
        <f t="shared" ref="M27:S27" si="52">C27</f>
        <v>amount</v>
      </c>
      <c r="N27" s="76" t="str">
        <f t="shared" si="52"/>
        <v>Y1</v>
      </c>
      <c r="O27" s="76" t="str">
        <f t="shared" si="52"/>
        <v>Y2</v>
      </c>
      <c r="P27" s="76" t="str">
        <f t="shared" si="52"/>
        <v>Y3</v>
      </c>
      <c r="Q27" s="76" t="str">
        <f t="shared" si="52"/>
        <v>Y4</v>
      </c>
      <c r="R27" s="76" t="str">
        <f t="shared" si="52"/>
        <v>Y5</v>
      </c>
      <c r="S27" s="77" t="str">
        <f t="shared" si="52"/>
        <v>Y6</v>
      </c>
    </row>
    <row r="28" spans="1:29" s="36" customFormat="1" x14ac:dyDescent="0.2">
      <c r="A28" s="32" t="s">
        <v>31</v>
      </c>
      <c r="C28" s="34">
        <f>C8</f>
        <v>16217.891198599998</v>
      </c>
      <c r="D28" s="37">
        <f>D23/$C28</f>
        <v>0.11200891432760077</v>
      </c>
      <c r="E28" s="37">
        <f t="shared" ref="D28:I30" si="53">E23/$C28</f>
        <v>0.64071936431594778</v>
      </c>
      <c r="F28" s="37">
        <f t="shared" si="53"/>
        <v>0.75923937267716657</v>
      </c>
      <c r="G28" s="37">
        <f t="shared" si="53"/>
        <v>0.97451226155579063</v>
      </c>
      <c r="H28" s="37">
        <f t="shared" si="53"/>
        <v>1.0610249837117036</v>
      </c>
      <c r="I28" s="46">
        <f t="shared" si="53"/>
        <v>1.0945895806436037</v>
      </c>
      <c r="K28" s="32" t="str">
        <f>A28</f>
        <v>BFC</v>
      </c>
      <c r="M28" s="65">
        <f>C28/Parameters!$B$2</f>
        <v>844.68183326041662</v>
      </c>
      <c r="N28" s="37">
        <f t="shared" ref="N28:S30" si="54">D28</f>
        <v>0.11200891432760077</v>
      </c>
      <c r="O28" s="37">
        <f t="shared" si="54"/>
        <v>0.64071936431594778</v>
      </c>
      <c r="P28" s="37">
        <f t="shared" si="54"/>
        <v>0.75923937267716657</v>
      </c>
      <c r="Q28" s="37">
        <f t="shared" si="54"/>
        <v>0.97451226155579063</v>
      </c>
      <c r="R28" s="37">
        <f t="shared" si="54"/>
        <v>1.0610249837117036</v>
      </c>
      <c r="S28" s="46">
        <f t="shared" si="54"/>
        <v>1.0945895806436037</v>
      </c>
    </row>
    <row r="29" spans="1:29" s="36" customFormat="1" x14ac:dyDescent="0.2">
      <c r="A29" s="32" t="s">
        <v>30</v>
      </c>
      <c r="C29" s="34">
        <f>C9</f>
        <v>2495.0601843999998</v>
      </c>
      <c r="D29" s="37">
        <f t="shared" si="53"/>
        <v>0.11200891432760078</v>
      </c>
      <c r="E29" s="37">
        <f t="shared" si="53"/>
        <v>0.64071936431594789</v>
      </c>
      <c r="F29" s="37">
        <f t="shared" si="53"/>
        <v>0.75923937267716679</v>
      </c>
      <c r="G29" s="37">
        <f t="shared" si="53"/>
        <v>0.9745122615557904</v>
      </c>
      <c r="H29" s="37">
        <f t="shared" si="53"/>
        <v>1.061024983711703</v>
      </c>
      <c r="I29" s="46">
        <f t="shared" si="53"/>
        <v>1.0945895806436037</v>
      </c>
      <c r="K29" s="32" t="str">
        <f>A29</f>
        <v>MBI</v>
      </c>
      <c r="M29" s="65">
        <f>C29/Parameters!$B$2</f>
        <v>129.95105127083332</v>
      </c>
      <c r="N29" s="37">
        <f t="shared" si="54"/>
        <v>0.11200891432760078</v>
      </c>
      <c r="O29" s="37">
        <f t="shared" si="54"/>
        <v>0.64071936431594789</v>
      </c>
      <c r="P29" s="37">
        <f t="shared" si="54"/>
        <v>0.75923937267716679</v>
      </c>
      <c r="Q29" s="37">
        <f t="shared" si="54"/>
        <v>0.9745122615557904</v>
      </c>
      <c r="R29" s="37">
        <f t="shared" si="54"/>
        <v>1.061024983711703</v>
      </c>
      <c r="S29" s="46">
        <f t="shared" si="54"/>
        <v>1.0945895806436037</v>
      </c>
    </row>
    <row r="30" spans="1:29" s="36" customFormat="1" x14ac:dyDescent="0.2">
      <c r="A30" s="39" t="str">
        <f>A5</f>
        <v>External investors - normal shares</v>
      </c>
      <c r="B30" s="44"/>
      <c r="C30" s="41">
        <f>C25</f>
        <v>14554.517742333332</v>
      </c>
      <c r="D30" s="47">
        <f t="shared" si="53"/>
        <v>8.2289534711828885E-2</v>
      </c>
      <c r="E30" s="47">
        <f t="shared" si="53"/>
        <v>0.31093687042112039</v>
      </c>
      <c r="F30" s="47">
        <f t="shared" si="53"/>
        <v>0.36391173114735703</v>
      </c>
      <c r="G30" s="47">
        <f t="shared" si="53"/>
        <v>0.45848294638105302</v>
      </c>
      <c r="H30" s="47">
        <f t="shared" si="53"/>
        <v>0.49800991736215866</v>
      </c>
      <c r="I30" s="48">
        <f t="shared" si="53"/>
        <v>0.51499184007925847</v>
      </c>
      <c r="K30" s="39" t="str">
        <f>A30</f>
        <v>External investors - normal shares</v>
      </c>
      <c r="L30" s="44"/>
      <c r="M30" s="68">
        <f>C30/Parameters!$B$2</f>
        <v>758.04779907986108</v>
      </c>
      <c r="N30" s="47">
        <f t="shared" si="54"/>
        <v>8.2289534711828885E-2</v>
      </c>
      <c r="O30" s="47">
        <f t="shared" si="54"/>
        <v>0.31093687042112039</v>
      </c>
      <c r="P30" s="47">
        <f t="shared" si="54"/>
        <v>0.36391173114735703</v>
      </c>
      <c r="Q30" s="47">
        <f t="shared" si="54"/>
        <v>0.45848294638105302</v>
      </c>
      <c r="R30" s="47">
        <f t="shared" si="54"/>
        <v>0.49800991736215866</v>
      </c>
      <c r="S30" s="48">
        <f t="shared" si="54"/>
        <v>0.51499184007925847</v>
      </c>
    </row>
    <row r="31" spans="1:29" s="36" customFormat="1" x14ac:dyDescent="0.2">
      <c r="C31" s="34"/>
      <c r="D31" s="37"/>
      <c r="E31" s="37"/>
      <c r="F31" s="37"/>
      <c r="G31" s="37"/>
      <c r="H31" s="37"/>
      <c r="I31" s="37"/>
      <c r="M31" s="65"/>
      <c r="N31" s="37"/>
      <c r="O31" s="37"/>
      <c r="P31" s="37"/>
      <c r="Q31" s="37"/>
      <c r="R31" s="37"/>
      <c r="S31" s="37"/>
    </row>
    <row r="32" spans="1:29" s="36" customFormat="1" x14ac:dyDescent="0.2">
      <c r="A32" s="29" t="s">
        <v>56</v>
      </c>
      <c r="B32" s="49"/>
      <c r="C32" s="76" t="str">
        <f>C12</f>
        <v>amount</v>
      </c>
      <c r="D32" s="76" t="s">
        <v>34</v>
      </c>
      <c r="E32" s="76" t="s">
        <v>35</v>
      </c>
      <c r="F32" s="76" t="s">
        <v>36</v>
      </c>
      <c r="G32" s="76" t="s">
        <v>37</v>
      </c>
      <c r="H32" s="76" t="s">
        <v>38</v>
      </c>
      <c r="I32" s="77" t="s">
        <v>39</v>
      </c>
      <c r="K32" s="29" t="str">
        <f>A32</f>
        <v>IRR</v>
      </c>
      <c r="L32" s="30"/>
      <c r="M32" s="80" t="str">
        <f t="shared" ref="M32:S35" si="55">C32</f>
        <v>amount</v>
      </c>
      <c r="N32" s="76" t="str">
        <f t="shared" si="55"/>
        <v>Y1</v>
      </c>
      <c r="O32" s="76" t="str">
        <f t="shared" si="55"/>
        <v>Y2</v>
      </c>
      <c r="P32" s="76" t="str">
        <f t="shared" si="55"/>
        <v>Y3</v>
      </c>
      <c r="Q32" s="76" t="str">
        <f t="shared" si="55"/>
        <v>Y4</v>
      </c>
      <c r="R32" s="76" t="str">
        <f t="shared" si="55"/>
        <v>Y5</v>
      </c>
      <c r="S32" s="77" t="str">
        <f t="shared" si="55"/>
        <v>Y6</v>
      </c>
    </row>
    <row r="33" spans="1:19" s="36" customFormat="1" x14ac:dyDescent="0.2">
      <c r="A33" s="32" t="s">
        <v>31</v>
      </c>
      <c r="C33" s="34">
        <f>C28</f>
        <v>16217.891198599998</v>
      </c>
      <c r="D33" s="37">
        <f>J44</f>
        <v>0.11200891137123109</v>
      </c>
      <c r="E33" s="37">
        <f>J47</f>
        <v>0.32339838147163391</v>
      </c>
      <c r="F33" s="37">
        <f>J50</f>
        <v>0.35899029374122626</v>
      </c>
      <c r="G33" s="37">
        <f>J53</f>
        <v>0.36616759896278395</v>
      </c>
      <c r="H33" s="37">
        <f>J56</f>
        <v>0.3535758316516876</v>
      </c>
      <c r="I33" s="46">
        <f>J59</f>
        <v>0.3339077293872833</v>
      </c>
      <c r="K33" s="32" t="str">
        <f>A33</f>
        <v>BFC</v>
      </c>
      <c r="M33" s="65">
        <f t="shared" si="55"/>
        <v>16217.891198599998</v>
      </c>
      <c r="N33" s="37">
        <f t="shared" si="55"/>
        <v>0.11200891137123109</v>
      </c>
      <c r="O33" s="37">
        <f t="shared" si="55"/>
        <v>0.32339838147163391</v>
      </c>
      <c r="P33" s="37">
        <f t="shared" si="55"/>
        <v>0.35899029374122626</v>
      </c>
      <c r="Q33" s="37">
        <f t="shared" si="55"/>
        <v>0.36616759896278395</v>
      </c>
      <c r="R33" s="37">
        <f t="shared" si="55"/>
        <v>0.3535758316516876</v>
      </c>
      <c r="S33" s="46">
        <f t="shared" si="55"/>
        <v>0.3339077293872833</v>
      </c>
    </row>
    <row r="34" spans="1:19" s="36" customFormat="1" x14ac:dyDescent="0.2">
      <c r="A34" s="32" t="s">
        <v>30</v>
      </c>
      <c r="C34" s="34">
        <f>C29</f>
        <v>2495.0601843999998</v>
      </c>
      <c r="D34" s="37">
        <f>J45</f>
        <v>0.11200891137123109</v>
      </c>
      <c r="E34" s="37">
        <f>J48</f>
        <v>0.32339838147163391</v>
      </c>
      <c r="F34" s="37">
        <f>J51</f>
        <v>0.35899029374122626</v>
      </c>
      <c r="G34" s="37">
        <f>J54</f>
        <v>0.36616759896278395</v>
      </c>
      <c r="H34" s="37">
        <f>J57</f>
        <v>0.3535758316516876</v>
      </c>
      <c r="I34" s="46">
        <f>J60</f>
        <v>0.3339077293872833</v>
      </c>
      <c r="K34" s="32" t="str">
        <f t="shared" ref="K34:K35" si="56">A34</f>
        <v>MBI</v>
      </c>
      <c r="M34" s="65">
        <f t="shared" si="55"/>
        <v>2495.0601843999998</v>
      </c>
      <c r="N34" s="37">
        <f t="shared" si="55"/>
        <v>0.11200891137123109</v>
      </c>
      <c r="O34" s="37">
        <f t="shared" si="55"/>
        <v>0.32339838147163391</v>
      </c>
      <c r="P34" s="37">
        <f t="shared" si="55"/>
        <v>0.35899029374122626</v>
      </c>
      <c r="Q34" s="37">
        <f t="shared" si="55"/>
        <v>0.36616759896278395</v>
      </c>
      <c r="R34" s="37">
        <f t="shared" si="55"/>
        <v>0.3535758316516876</v>
      </c>
      <c r="S34" s="46">
        <f t="shared" si="55"/>
        <v>0.3339077293872833</v>
      </c>
    </row>
    <row r="35" spans="1:19" s="36" customFormat="1" x14ac:dyDescent="0.2">
      <c r="A35" s="39" t="str">
        <f>A10</f>
        <v>External investors - normal shares</v>
      </c>
      <c r="B35" s="44"/>
      <c r="C35" s="41">
        <f>C30</f>
        <v>14554.517742333332</v>
      </c>
      <c r="D35" s="47">
        <f>J46</f>
        <v>8.2289531826972975E-2</v>
      </c>
      <c r="E35" s="47">
        <f>J49</f>
        <v>0.18008241057395938</v>
      </c>
      <c r="F35" s="47">
        <f>J52</f>
        <v>0.20650052428245547</v>
      </c>
      <c r="G35" s="47">
        <f>J55</f>
        <v>0.21987337470054621</v>
      </c>
      <c r="H35" s="47">
        <f>J58</f>
        <v>0.22085102200508117</v>
      </c>
      <c r="I35" s="48">
        <f>J61</f>
        <v>0.21551077961921694</v>
      </c>
      <c r="K35" s="39" t="str">
        <f t="shared" si="56"/>
        <v>External investors - normal shares</v>
      </c>
      <c r="L35" s="44"/>
      <c r="M35" s="68">
        <f t="shared" si="55"/>
        <v>14554.517742333332</v>
      </c>
      <c r="N35" s="47">
        <f t="shared" si="55"/>
        <v>8.2289531826972975E-2</v>
      </c>
      <c r="O35" s="47">
        <f t="shared" si="55"/>
        <v>0.18008241057395938</v>
      </c>
      <c r="P35" s="47">
        <f t="shared" si="55"/>
        <v>0.20650052428245547</v>
      </c>
      <c r="Q35" s="47">
        <f t="shared" si="55"/>
        <v>0.21987337470054621</v>
      </c>
      <c r="R35" s="47">
        <f t="shared" si="55"/>
        <v>0.22085102200508117</v>
      </c>
      <c r="S35" s="48">
        <f t="shared" si="55"/>
        <v>0.21551077961921694</v>
      </c>
    </row>
    <row r="36" spans="1:19" s="36" customFormat="1" x14ac:dyDescent="0.2">
      <c r="K36" s="31"/>
      <c r="L36" s="31"/>
      <c r="M36" s="31"/>
      <c r="N36" s="31"/>
      <c r="O36" s="31"/>
      <c r="P36" s="31"/>
      <c r="Q36" s="31"/>
      <c r="R36" s="31"/>
      <c r="S36" s="31"/>
    </row>
    <row r="37" spans="1:19" s="36" customFormat="1" x14ac:dyDescent="0.2">
      <c r="A37" s="29" t="s">
        <v>44</v>
      </c>
      <c r="B37" s="30"/>
      <c r="C37" s="50"/>
      <c r="D37" s="76" t="s">
        <v>34</v>
      </c>
      <c r="E37" s="76" t="s">
        <v>35</v>
      </c>
      <c r="F37" s="76" t="s">
        <v>36</v>
      </c>
      <c r="G37" s="76" t="s">
        <v>37</v>
      </c>
      <c r="H37" s="76" t="s">
        <v>38</v>
      </c>
      <c r="I37" s="77" t="s">
        <v>39</v>
      </c>
      <c r="K37" s="29" t="str">
        <f t="shared" ref="K37:K40" si="57">A37</f>
        <v>Money multiple</v>
      </c>
      <c r="L37" s="30"/>
      <c r="M37" s="30"/>
      <c r="N37" s="76" t="str">
        <f t="shared" ref="N37:N40" si="58">D37</f>
        <v>Y1</v>
      </c>
      <c r="O37" s="76" t="str">
        <f t="shared" ref="O37:O40" si="59">E37</f>
        <v>Y2</v>
      </c>
      <c r="P37" s="76" t="str">
        <f t="shared" ref="P37:P40" si="60">F37</f>
        <v>Y3</v>
      </c>
      <c r="Q37" s="76" t="str">
        <f t="shared" ref="Q37:Q40" si="61">G37</f>
        <v>Y4</v>
      </c>
      <c r="R37" s="76" t="str">
        <f t="shared" ref="R37:R40" si="62">H37</f>
        <v>Y5</v>
      </c>
      <c r="S37" s="77" t="str">
        <f t="shared" ref="S37:S40" si="63">I37</f>
        <v>Y6</v>
      </c>
    </row>
    <row r="38" spans="1:19" s="36" customFormat="1" x14ac:dyDescent="0.2">
      <c r="A38" s="32" t="str">
        <f>A18</f>
        <v>BFC</v>
      </c>
      <c r="C38" s="34"/>
      <c r="D38" s="51">
        <f t="shared" ref="D38:I40" si="64">D18/$C18</f>
        <v>1.1120089143276009</v>
      </c>
      <c r="E38" s="51">
        <f t="shared" si="64"/>
        <v>1.7527282786435485</v>
      </c>
      <c r="F38" s="51">
        <f t="shared" si="64"/>
        <v>2.511967651320715</v>
      </c>
      <c r="G38" s="51">
        <f t="shared" si="64"/>
        <v>3.4864799128765056</v>
      </c>
      <c r="H38" s="51">
        <f t="shared" si="64"/>
        <v>4.547504896588209</v>
      </c>
      <c r="I38" s="52">
        <f t="shared" si="64"/>
        <v>5.6420944772318133</v>
      </c>
      <c r="K38" s="32" t="str">
        <f t="shared" si="57"/>
        <v>BFC</v>
      </c>
      <c r="M38" s="65"/>
      <c r="N38" s="66">
        <f t="shared" si="58"/>
        <v>1.1120089143276009</v>
      </c>
      <c r="O38" s="66">
        <f t="shared" si="59"/>
        <v>1.7527282786435485</v>
      </c>
      <c r="P38" s="66">
        <f t="shared" si="60"/>
        <v>2.511967651320715</v>
      </c>
      <c r="Q38" s="66">
        <f t="shared" si="61"/>
        <v>3.4864799128765056</v>
      </c>
      <c r="R38" s="66">
        <f t="shared" si="62"/>
        <v>4.547504896588209</v>
      </c>
      <c r="S38" s="53">
        <f t="shared" si="63"/>
        <v>5.6420944772318133</v>
      </c>
    </row>
    <row r="39" spans="1:19" s="36" customFormat="1" x14ac:dyDescent="0.2">
      <c r="A39" s="32" t="str">
        <f>A19</f>
        <v>MBI</v>
      </c>
      <c r="C39" s="34"/>
      <c r="D39" s="51">
        <f t="shared" si="64"/>
        <v>1.1120089143276009</v>
      </c>
      <c r="E39" s="51">
        <f t="shared" si="64"/>
        <v>1.7527282786435487</v>
      </c>
      <c r="F39" s="51">
        <f t="shared" si="64"/>
        <v>2.5119676513207154</v>
      </c>
      <c r="G39" s="51">
        <f t="shared" si="64"/>
        <v>3.486479912876506</v>
      </c>
      <c r="H39" s="51">
        <f t="shared" si="64"/>
        <v>4.547504896588209</v>
      </c>
      <c r="I39" s="52">
        <f t="shared" si="64"/>
        <v>5.6420944772318125</v>
      </c>
      <c r="K39" s="32" t="str">
        <f t="shared" si="57"/>
        <v>MBI</v>
      </c>
      <c r="M39" s="65"/>
      <c r="N39" s="66">
        <f t="shared" si="58"/>
        <v>1.1120089143276009</v>
      </c>
      <c r="O39" s="66">
        <f t="shared" si="59"/>
        <v>1.7527282786435487</v>
      </c>
      <c r="P39" s="66">
        <f t="shared" si="60"/>
        <v>2.5119676513207154</v>
      </c>
      <c r="Q39" s="66">
        <f t="shared" si="61"/>
        <v>3.486479912876506</v>
      </c>
      <c r="R39" s="66">
        <f t="shared" si="62"/>
        <v>4.547504896588209</v>
      </c>
      <c r="S39" s="53">
        <f t="shared" si="63"/>
        <v>5.6420944772318125</v>
      </c>
    </row>
    <row r="40" spans="1:19" s="36" customFormat="1" x14ac:dyDescent="0.2">
      <c r="A40" s="39" t="str">
        <f>A20</f>
        <v>External investors - normal shares</v>
      </c>
      <c r="B40" s="44"/>
      <c r="C40" s="41"/>
      <c r="D40" s="54">
        <f t="shared" si="64"/>
        <v>1.0822895347118289</v>
      </c>
      <c r="E40" s="54">
        <f t="shared" si="64"/>
        <v>1.3932264051329493</v>
      </c>
      <c r="F40" s="54">
        <f t="shared" si="64"/>
        <v>1.7571381362803062</v>
      </c>
      <c r="G40" s="54">
        <f t="shared" si="64"/>
        <v>2.2156210826613592</v>
      </c>
      <c r="H40" s="54">
        <f t="shared" si="64"/>
        <v>2.713631000023518</v>
      </c>
      <c r="I40" s="55">
        <f t="shared" si="64"/>
        <v>3.2286228401027763</v>
      </c>
      <c r="K40" s="39" t="str">
        <f t="shared" si="57"/>
        <v>External investors - normal shares</v>
      </c>
      <c r="L40" s="44"/>
      <c r="M40" s="68"/>
      <c r="N40" s="56">
        <f t="shared" si="58"/>
        <v>1.0822895347118289</v>
      </c>
      <c r="O40" s="56">
        <f t="shared" si="59"/>
        <v>1.3932264051329493</v>
      </c>
      <c r="P40" s="56">
        <f t="shared" si="60"/>
        <v>1.7571381362803062</v>
      </c>
      <c r="Q40" s="56">
        <f t="shared" si="61"/>
        <v>2.2156210826613592</v>
      </c>
      <c r="R40" s="56">
        <f t="shared" si="62"/>
        <v>2.713631000023518</v>
      </c>
      <c r="S40" s="57">
        <f t="shared" si="63"/>
        <v>3.2286228401027763</v>
      </c>
    </row>
    <row r="41" spans="1:19" s="36" customFormat="1" x14ac:dyDescent="0.2"/>
    <row r="42" spans="1:19" s="36" customFormat="1" hidden="1" x14ac:dyDescent="0.2">
      <c r="C42" s="61">
        <v>46113</v>
      </c>
      <c r="D42" s="61">
        <v>46478</v>
      </c>
      <c r="E42" s="61">
        <v>46844</v>
      </c>
      <c r="F42" s="61">
        <v>47209</v>
      </c>
      <c r="G42" s="61">
        <v>47574</v>
      </c>
      <c r="H42" s="61">
        <v>47939</v>
      </c>
      <c r="I42" s="61">
        <v>48305</v>
      </c>
      <c r="J42" s="58"/>
    </row>
    <row r="43" spans="1:19" s="36" customFormat="1" ht="45" hidden="1" x14ac:dyDescent="0.2">
      <c r="A43" s="62"/>
      <c r="B43" s="62"/>
      <c r="C43" s="36" t="s">
        <v>57</v>
      </c>
      <c r="D43" s="36" t="s">
        <v>34</v>
      </c>
      <c r="E43" s="36" t="s">
        <v>35</v>
      </c>
      <c r="F43" s="36" t="s">
        <v>36</v>
      </c>
      <c r="G43" s="36" t="s">
        <v>37</v>
      </c>
      <c r="H43" s="36" t="s">
        <v>38</v>
      </c>
      <c r="I43" s="36" t="s">
        <v>39</v>
      </c>
      <c r="J43" s="59" t="s">
        <v>56</v>
      </c>
    </row>
    <row r="44" spans="1:19" s="36" customFormat="1" hidden="1" x14ac:dyDescent="0.2">
      <c r="A44" s="36" t="str">
        <f>A38</f>
        <v>BFC</v>
      </c>
      <c r="C44" s="34">
        <f>$C$23*-1</f>
        <v>-16217.891198599998</v>
      </c>
      <c r="D44" s="34">
        <f>D18</f>
        <v>18034.439584438336</v>
      </c>
      <c r="E44" s="34"/>
      <c r="F44" s="34"/>
      <c r="G44" s="34"/>
      <c r="H44" s="34"/>
      <c r="I44" s="34"/>
      <c r="J44" s="60">
        <f>IF(C44&lt;&gt;0,(XIRR(C44:I44,$C$42:$I$42,)),0)</f>
        <v>0.11200891137123109</v>
      </c>
    </row>
    <row r="45" spans="1:19" s="36" customFormat="1" hidden="1" x14ac:dyDescent="0.2">
      <c r="A45" s="36" t="str">
        <f>A39</f>
        <v>MBI</v>
      </c>
      <c r="C45" s="34">
        <f>$C$24*-1</f>
        <v>-2495.0601843999998</v>
      </c>
      <c r="D45" s="34">
        <f>D19</f>
        <v>2774.5291668366672</v>
      </c>
      <c r="E45" s="34"/>
      <c r="F45" s="34"/>
      <c r="G45" s="34"/>
      <c r="H45" s="34"/>
      <c r="I45" s="34"/>
      <c r="J45" s="60">
        <f t="shared" ref="J45:J61" si="65">IF(C45&lt;&gt;0,(XIRR(C45:I45,$C$42:$I$42,)),0)</f>
        <v>0.11200891137123109</v>
      </c>
    </row>
    <row r="46" spans="1:19" s="36" customFormat="1" hidden="1" x14ac:dyDescent="0.2">
      <c r="A46" s="36" t="str">
        <f>A40</f>
        <v>External investors - normal shares</v>
      </c>
      <c r="C46" s="34">
        <f>$C$25*-1</f>
        <v>-14554.517742333332</v>
      </c>
      <c r="D46" s="34">
        <f>D20</f>
        <v>15752.202235305</v>
      </c>
      <c r="E46" s="34"/>
      <c r="F46" s="34"/>
      <c r="G46" s="34"/>
      <c r="H46" s="34"/>
      <c r="I46" s="34"/>
      <c r="J46" s="60">
        <f t="shared" si="65"/>
        <v>8.2289531826972975E-2</v>
      </c>
    </row>
    <row r="47" spans="1:19" s="36" customFormat="1" hidden="1" x14ac:dyDescent="0.2">
      <c r="A47" s="36" t="str">
        <f t="shared" ref="A47:A58" si="66">A44</f>
        <v>BFC</v>
      </c>
      <c r="C47" s="34">
        <f>$C$23*-1</f>
        <v>-16217.891198599998</v>
      </c>
      <c r="D47" s="34"/>
      <c r="E47" s="34">
        <f>E18</f>
        <v>28425.556523750533</v>
      </c>
      <c r="F47" s="34"/>
      <c r="G47" s="34"/>
      <c r="H47" s="34"/>
      <c r="I47" s="34"/>
      <c r="J47" s="60">
        <f t="shared" si="65"/>
        <v>0.32339838147163391</v>
      </c>
    </row>
    <row r="48" spans="1:19" s="36" customFormat="1" hidden="1" x14ac:dyDescent="0.2">
      <c r="A48" s="36" t="str">
        <f t="shared" si="66"/>
        <v>MBI</v>
      </c>
      <c r="C48" s="34">
        <f>$C$24*-1</f>
        <v>-2495.0601843999998</v>
      </c>
      <c r="D48" s="34"/>
      <c r="E48" s="34">
        <f>E19</f>
        <v>4373.1625421154667</v>
      </c>
      <c r="F48" s="34"/>
      <c r="G48" s="34"/>
      <c r="H48" s="34"/>
      <c r="I48" s="34"/>
      <c r="J48" s="60">
        <f t="shared" si="65"/>
        <v>0.32339838147163391</v>
      </c>
      <c r="K48" s="63"/>
    </row>
    <row r="49" spans="1:11" s="36" customFormat="1" hidden="1" x14ac:dyDescent="0.2">
      <c r="A49" s="36" t="str">
        <f t="shared" si="66"/>
        <v>External investors - normal shares</v>
      </c>
      <c r="C49" s="34">
        <f>$C$25*-1</f>
        <v>-14554.517742333332</v>
      </c>
      <c r="D49" s="34"/>
      <c r="E49" s="34">
        <f>E20</f>
        <v>20277.738432594797</v>
      </c>
      <c r="F49" s="34"/>
      <c r="G49" s="34"/>
      <c r="H49" s="34"/>
      <c r="I49" s="34"/>
      <c r="J49" s="60">
        <f t="shared" si="65"/>
        <v>0.18008241057395938</v>
      </c>
      <c r="K49" s="63"/>
    </row>
    <row r="50" spans="1:11" s="36" customFormat="1" hidden="1" x14ac:dyDescent="0.2">
      <c r="A50" s="36" t="str">
        <f t="shared" si="66"/>
        <v>BFC</v>
      </c>
      <c r="C50" s="34">
        <f>$C$23*-1</f>
        <v>-16217.891198599998</v>
      </c>
      <c r="D50" s="34"/>
      <c r="E50" s="34"/>
      <c r="F50" s="34">
        <f>F18</f>
        <v>40738.818063522136</v>
      </c>
      <c r="G50" s="34"/>
      <c r="H50" s="34"/>
      <c r="I50" s="34"/>
      <c r="J50" s="60">
        <f t="shared" si="65"/>
        <v>0.35899029374122626</v>
      </c>
    </row>
    <row r="51" spans="1:11" s="36" customFormat="1" hidden="1" x14ac:dyDescent="0.2">
      <c r="A51" s="36" t="str">
        <f t="shared" si="66"/>
        <v>MBI</v>
      </c>
      <c r="C51" s="34">
        <f>$C$24*-1</f>
        <v>-2495.0601843999998</v>
      </c>
      <c r="D51" s="34"/>
      <c r="E51" s="34"/>
      <c r="F51" s="34">
        <f>F19</f>
        <v>6267.5104713110986</v>
      </c>
      <c r="G51" s="34"/>
      <c r="H51" s="34"/>
      <c r="I51" s="34"/>
      <c r="J51" s="60">
        <f t="shared" si="65"/>
        <v>0.35899029374122626</v>
      </c>
    </row>
    <row r="52" spans="1:11" s="36" customFormat="1" hidden="1" x14ac:dyDescent="0.2">
      <c r="A52" s="36" t="str">
        <f t="shared" si="66"/>
        <v>External investors - normal shares</v>
      </c>
      <c r="C52" s="34">
        <f>$C$25*-1</f>
        <v>-14554.517742333332</v>
      </c>
      <c r="D52" s="34"/>
      <c r="E52" s="34"/>
      <c r="F52" s="34">
        <f>F20</f>
        <v>25574.298180222242</v>
      </c>
      <c r="G52" s="34"/>
      <c r="H52" s="34"/>
      <c r="I52" s="34"/>
      <c r="J52" s="60">
        <f t="shared" si="65"/>
        <v>0.20650052428245547</v>
      </c>
    </row>
    <row r="53" spans="1:11" s="36" customFormat="1" hidden="1" x14ac:dyDescent="0.2">
      <c r="A53" s="36" t="str">
        <f t="shared" si="66"/>
        <v>BFC</v>
      </c>
      <c r="C53" s="34">
        <f>$C$23*-1</f>
        <v>-16217.891198599998</v>
      </c>
      <c r="D53" s="34"/>
      <c r="E53" s="34"/>
      <c r="F53" s="34"/>
      <c r="G53" s="34">
        <f>G18</f>
        <v>56543.351893135572</v>
      </c>
      <c r="H53" s="34"/>
      <c r="I53" s="34"/>
      <c r="J53" s="60">
        <f t="shared" si="65"/>
        <v>0.36616759896278395</v>
      </c>
      <c r="K53" s="64"/>
    </row>
    <row r="54" spans="1:11" s="36" customFormat="1" hidden="1" x14ac:dyDescent="0.2">
      <c r="A54" s="36" t="str">
        <f t="shared" si="66"/>
        <v>MBI</v>
      </c>
      <c r="C54" s="34">
        <f>$C$24*-1</f>
        <v>-2495.0601843999998</v>
      </c>
      <c r="D54" s="34"/>
      <c r="E54" s="34"/>
      <c r="F54" s="34"/>
      <c r="G54" s="34">
        <f>G19</f>
        <v>8698.97721432855</v>
      </c>
      <c r="H54" s="34"/>
      <c r="I54" s="34"/>
      <c r="J54" s="60">
        <f t="shared" si="65"/>
        <v>0.36616759896278395</v>
      </c>
      <c r="K54" s="64"/>
    </row>
    <row r="55" spans="1:11" s="36" customFormat="1" hidden="1" x14ac:dyDescent="0.2">
      <c r="A55" s="36" t="str">
        <f t="shared" si="66"/>
        <v>External investors - normal shares</v>
      </c>
      <c r="C55" s="34">
        <f>$C$25*-1</f>
        <v>-14554.517742333332</v>
      </c>
      <c r="D55" s="34"/>
      <c r="E55" s="34"/>
      <c r="F55" s="34"/>
      <c r="G55" s="34">
        <f>G20</f>
        <v>32247.29635788254</v>
      </c>
      <c r="H55" s="34"/>
      <c r="I55" s="34"/>
      <c r="J55" s="60">
        <f t="shared" si="65"/>
        <v>0.21987337470054621</v>
      </c>
      <c r="K55" s="64"/>
    </row>
    <row r="56" spans="1:11" s="36" customFormat="1" hidden="1" x14ac:dyDescent="0.2">
      <c r="A56" s="36" t="str">
        <f t="shared" si="66"/>
        <v>BFC</v>
      </c>
      <c r="C56" s="34">
        <f t="shared" ref="C56:C61" si="67">+C53</f>
        <v>-16217.891198599998</v>
      </c>
      <c r="D56" s="34"/>
      <c r="E56" s="34"/>
      <c r="F56" s="34"/>
      <c r="G56" s="34"/>
      <c r="H56" s="34">
        <f>H18</f>
        <v>73750.939637968317</v>
      </c>
      <c r="I56" s="34"/>
      <c r="J56" s="60">
        <f t="shared" si="65"/>
        <v>0.3535758316516876</v>
      </c>
    </row>
    <row r="57" spans="1:11" s="36" customFormat="1" hidden="1" x14ac:dyDescent="0.2">
      <c r="A57" s="36" t="str">
        <f t="shared" si="66"/>
        <v>MBI</v>
      </c>
      <c r="C57" s="34">
        <f t="shared" si="67"/>
        <v>-2495.0601843999998</v>
      </c>
      <c r="D57" s="34"/>
      <c r="E57" s="34"/>
      <c r="F57" s="34"/>
      <c r="G57" s="34"/>
      <c r="H57" s="34">
        <f>H19</f>
        <v>11346.298405841279</v>
      </c>
      <c r="I57" s="34"/>
      <c r="J57" s="60">
        <f t="shared" si="65"/>
        <v>0.3535758316516876</v>
      </c>
    </row>
    <row r="58" spans="1:11" s="36" customFormat="1" hidden="1" x14ac:dyDescent="0.2">
      <c r="A58" s="36" t="str">
        <f t="shared" si="66"/>
        <v>External investors - normal shares</v>
      </c>
      <c r="C58" s="34">
        <f t="shared" si="67"/>
        <v>-14554.517742333332</v>
      </c>
      <c r="D58" s="34"/>
      <c r="E58" s="34"/>
      <c r="F58" s="34"/>
      <c r="G58" s="34"/>
      <c r="H58" s="34">
        <f>H20</f>
        <v>39495.590535988034</v>
      </c>
      <c r="I58" s="34"/>
      <c r="J58" s="60">
        <f t="shared" si="65"/>
        <v>0.22085102200508117</v>
      </c>
    </row>
    <row r="59" spans="1:11" s="36" customFormat="1" hidden="1" x14ac:dyDescent="0.2">
      <c r="A59" s="36" t="str">
        <f>A53</f>
        <v>BFC</v>
      </c>
      <c r="C59" s="34">
        <f t="shared" si="67"/>
        <v>-16217.891198599998</v>
      </c>
      <c r="D59" s="34"/>
      <c r="E59" s="34"/>
      <c r="F59" s="34"/>
      <c r="G59" s="34"/>
      <c r="H59" s="34"/>
      <c r="I59" s="34">
        <f>I18</f>
        <v>91502.874363967479</v>
      </c>
      <c r="J59" s="60">
        <f t="shared" si="65"/>
        <v>0.3339077293872833</v>
      </c>
    </row>
    <row r="60" spans="1:11" s="36" customFormat="1" hidden="1" x14ac:dyDescent="0.2">
      <c r="A60" s="36" t="str">
        <f>A54</f>
        <v>MBI</v>
      </c>
      <c r="C60" s="34">
        <f t="shared" si="67"/>
        <v>-2495.0601843999998</v>
      </c>
      <c r="D60" s="34"/>
      <c r="E60" s="34"/>
      <c r="F60" s="34"/>
      <c r="G60" s="34"/>
      <c r="H60" s="34"/>
      <c r="I60" s="34">
        <f>I19</f>
        <v>14077.365286764227</v>
      </c>
      <c r="J60" s="60">
        <f t="shared" si="65"/>
        <v>0.3339077293872833</v>
      </c>
    </row>
    <row r="61" spans="1:11" s="36" customFormat="1" hidden="1" x14ac:dyDescent="0.2">
      <c r="A61" s="36" t="str">
        <f>A58</f>
        <v>External investors - normal shares</v>
      </c>
      <c r="C61" s="34">
        <f t="shared" si="67"/>
        <v>-14554.517742333332</v>
      </c>
      <c r="D61" s="34"/>
      <c r="E61" s="34"/>
      <c r="F61" s="34"/>
      <c r="G61" s="34"/>
      <c r="H61" s="34"/>
      <c r="I61" s="34">
        <f>I20</f>
        <v>46991.048409578492</v>
      </c>
      <c r="J61" s="60">
        <f t="shared" si="65"/>
        <v>0.21551077961921694</v>
      </c>
    </row>
    <row r="62" spans="1:11" s="36" customFormat="1" hidden="1" x14ac:dyDescent="0.2"/>
    <row r="63" spans="1:11" s="36" customFormat="1" hidden="1" x14ac:dyDescent="0.2"/>
    <row r="64" spans="1:11" s="36" customFormat="1" hidden="1" x14ac:dyDescent="0.2"/>
    <row r="65" s="36" customFormat="1" hidden="1" x14ac:dyDescent="0.2"/>
    <row r="66" s="36" customFormat="1" hidden="1" x14ac:dyDescent="0.2"/>
    <row r="67" s="36" customFormat="1" hidden="1" x14ac:dyDescent="0.2"/>
    <row r="68" s="36" customFormat="1" x14ac:dyDescent="0.2"/>
    <row r="69" s="36" customFormat="1" x14ac:dyDescent="0.2"/>
    <row r="70" s="36" customFormat="1" x14ac:dyDescent="0.2"/>
    <row r="71" s="36" customFormat="1" x14ac:dyDescent="0.2"/>
    <row r="72" s="36" customFormat="1" x14ac:dyDescent="0.2"/>
    <row r="73" s="36" customFormat="1" x14ac:dyDescent="0.2"/>
    <row r="74" s="36" customFormat="1" x14ac:dyDescent="0.2"/>
    <row r="75" s="36" customFormat="1" x14ac:dyDescent="0.2"/>
    <row r="76" s="36" customFormat="1" x14ac:dyDescent="0.2"/>
    <row r="77" s="36" customFormat="1" x14ac:dyDescent="0.2"/>
    <row r="78" s="36" customFormat="1" x14ac:dyDescent="0.2"/>
    <row r="79" s="36" customFormat="1" x14ac:dyDescent="0.2"/>
    <row r="80" s="36" customFormat="1" x14ac:dyDescent="0.2"/>
    <row r="81" s="36" customFormat="1" x14ac:dyDescent="0.2"/>
    <row r="82" s="36" customFormat="1" x14ac:dyDescent="0.2"/>
    <row r="83" s="36" customFormat="1" x14ac:dyDescent="0.2"/>
    <row r="84" s="36" customFormat="1" x14ac:dyDescent="0.2"/>
    <row r="85" s="36" customFormat="1" x14ac:dyDescent="0.2"/>
    <row r="86" s="36" customFormat="1" x14ac:dyDescent="0.2"/>
    <row r="87" s="36" customFormat="1" x14ac:dyDescent="0.2"/>
    <row r="88" s="36" customFormat="1" x14ac:dyDescent="0.2"/>
    <row r="89" s="36" customFormat="1" x14ac:dyDescent="0.2"/>
    <row r="90" s="36" customFormat="1" x14ac:dyDescent="0.2"/>
    <row r="91" s="36" customFormat="1" x14ac:dyDescent="0.2"/>
    <row r="92" s="36" customFormat="1" x14ac:dyDescent="0.2"/>
    <row r="93" s="36" customFormat="1" x14ac:dyDescent="0.2"/>
    <row r="94" s="36" customFormat="1" x14ac:dyDescent="0.2"/>
    <row r="95" s="36" customFormat="1" x14ac:dyDescent="0.2"/>
    <row r="96" s="36" customFormat="1" x14ac:dyDescent="0.2"/>
    <row r="97" s="36" customFormat="1" x14ac:dyDescent="0.2"/>
    <row r="98" s="36" customFormat="1" x14ac:dyDescent="0.2"/>
    <row r="99" s="36" customFormat="1" x14ac:dyDescent="0.2"/>
    <row r="100" s="36" customFormat="1" x14ac:dyDescent="0.2"/>
    <row r="101" s="36" customFormat="1" x14ac:dyDescent="0.2"/>
    <row r="102" s="36" customFormat="1" x14ac:dyDescent="0.2"/>
    <row r="103" s="36" customFormat="1" x14ac:dyDescent="0.2"/>
    <row r="104" s="36" customFormat="1" x14ac:dyDescent="0.2"/>
    <row r="105" s="36" customFormat="1" x14ac:dyDescent="0.2"/>
    <row r="106" s="36" customFormat="1" x14ac:dyDescent="0.2"/>
    <row r="107" s="36" customFormat="1" x14ac:dyDescent="0.2"/>
    <row r="108" s="36" customFormat="1" x14ac:dyDescent="0.2"/>
    <row r="109" s="36" customFormat="1" x14ac:dyDescent="0.2"/>
    <row r="110" s="36" customFormat="1" x14ac:dyDescent="0.2"/>
    <row r="111" s="36" customFormat="1" x14ac:dyDescent="0.2"/>
    <row r="112" s="36" customFormat="1" x14ac:dyDescent="0.2"/>
    <row r="113" s="36" customFormat="1" x14ac:dyDescent="0.2"/>
    <row r="114" s="36" customFormat="1" x14ac:dyDescent="0.2"/>
    <row r="115" s="36" customFormat="1" x14ac:dyDescent="0.2"/>
    <row r="116" s="36" customFormat="1" x14ac:dyDescent="0.2"/>
    <row r="117" s="36" customFormat="1" x14ac:dyDescent="0.2"/>
    <row r="118" s="36" customFormat="1" x14ac:dyDescent="0.2"/>
    <row r="119" s="36" customFormat="1" x14ac:dyDescent="0.2"/>
    <row r="120" s="36" customFormat="1" x14ac:dyDescent="0.2"/>
    <row r="121" s="36" customFormat="1" x14ac:dyDescent="0.2"/>
    <row r="122" s="36" customFormat="1" x14ac:dyDescent="0.2"/>
    <row r="123" s="36" customFormat="1" x14ac:dyDescent="0.2"/>
    <row r="124" s="36" customFormat="1" x14ac:dyDescent="0.2"/>
    <row r="125" s="36" customFormat="1" x14ac:dyDescent="0.2"/>
    <row r="126" s="36" customFormat="1" x14ac:dyDescent="0.2"/>
    <row r="127" s="36" customFormat="1" x14ac:dyDescent="0.2"/>
    <row r="128" s="36" customFormat="1" x14ac:dyDescent="0.2"/>
    <row r="129" s="36" customFormat="1" x14ac:dyDescent="0.2"/>
    <row r="130" s="36" customFormat="1" x14ac:dyDescent="0.2"/>
    <row r="131" s="36" customFormat="1" x14ac:dyDescent="0.2"/>
    <row r="132" s="36" customFormat="1" x14ac:dyDescent="0.2"/>
    <row r="133" s="36" customFormat="1" x14ac:dyDescent="0.2"/>
    <row r="134" s="36" customFormat="1" x14ac:dyDescent="0.2"/>
    <row r="135" s="36" customFormat="1" x14ac:dyDescent="0.2"/>
    <row r="136" s="36" customFormat="1" x14ac:dyDescent="0.2"/>
    <row r="137" s="36" customFormat="1" x14ac:dyDescent="0.2"/>
    <row r="138" s="36" customFormat="1" x14ac:dyDescent="0.2"/>
    <row r="139" s="36" customFormat="1" x14ac:dyDescent="0.2"/>
    <row r="140" s="36" customFormat="1" x14ac:dyDescent="0.2"/>
    <row r="141" s="36" customFormat="1" x14ac:dyDescent="0.2"/>
    <row r="142" s="36" customFormat="1" x14ac:dyDescent="0.2"/>
    <row r="143" s="36" customFormat="1" x14ac:dyDescent="0.2"/>
    <row r="144" s="36" customFormat="1" x14ac:dyDescent="0.2"/>
    <row r="145" s="36" customFormat="1" x14ac:dyDescent="0.2"/>
    <row r="146" s="36" customFormat="1" x14ac:dyDescent="0.2"/>
    <row r="147" s="36" customFormat="1" x14ac:dyDescent="0.2"/>
    <row r="148" s="36" customFormat="1" x14ac:dyDescent="0.2"/>
    <row r="149" s="36" customFormat="1" x14ac:dyDescent="0.2"/>
    <row r="150" s="36" customFormat="1" x14ac:dyDescent="0.2"/>
    <row r="151" s="36" customFormat="1" x14ac:dyDescent="0.2"/>
    <row r="152" s="36" customFormat="1" x14ac:dyDescent="0.2"/>
    <row r="153" s="36" customFormat="1" x14ac:dyDescent="0.2"/>
    <row r="154" s="36" customFormat="1" x14ac:dyDescent="0.2"/>
    <row r="155" s="36" customFormat="1" x14ac:dyDescent="0.2"/>
    <row r="156" s="36" customFormat="1" x14ac:dyDescent="0.2"/>
    <row r="157" s="36" customFormat="1" x14ac:dyDescent="0.2"/>
    <row r="158" s="36" customFormat="1" x14ac:dyDescent="0.2"/>
    <row r="159" s="36" customFormat="1" x14ac:dyDescent="0.2"/>
    <row r="160" s="36" customFormat="1" x14ac:dyDescent="0.2"/>
    <row r="161" s="36" customFormat="1" x14ac:dyDescent="0.2"/>
    <row r="162" s="36" customFormat="1" x14ac:dyDescent="0.2"/>
    <row r="163" s="36" customFormat="1" x14ac:dyDescent="0.2"/>
    <row r="164" s="36" customFormat="1" x14ac:dyDescent="0.2"/>
    <row r="165" s="36" customFormat="1" x14ac:dyDescent="0.2"/>
    <row r="166" s="36" customFormat="1" x14ac:dyDescent="0.2"/>
    <row r="167" s="36" customFormat="1" x14ac:dyDescent="0.2"/>
    <row r="168" s="36" customFormat="1" x14ac:dyDescent="0.2"/>
    <row r="169" s="36" customFormat="1" x14ac:dyDescent="0.2"/>
    <row r="170" s="36" customFormat="1" x14ac:dyDescent="0.2"/>
    <row r="171" s="36" customFormat="1" x14ac:dyDescent="0.2"/>
    <row r="172" s="36" customFormat="1" x14ac:dyDescent="0.2"/>
    <row r="173" s="36" customFormat="1" x14ac:dyDescent="0.2"/>
    <row r="174" s="36" customFormat="1" x14ac:dyDescent="0.2"/>
    <row r="175" s="36" customFormat="1" x14ac:dyDescent="0.2"/>
    <row r="176" s="36" customFormat="1" x14ac:dyDescent="0.2"/>
    <row r="177" s="36" customFormat="1" x14ac:dyDescent="0.2"/>
    <row r="178" s="36" customFormat="1" x14ac:dyDescent="0.2"/>
    <row r="179" s="36" customFormat="1" x14ac:dyDescent="0.2"/>
    <row r="180" s="36" customFormat="1" x14ac:dyDescent="0.2"/>
    <row r="181" s="36" customFormat="1" x14ac:dyDescent="0.2"/>
    <row r="182" s="36" customFormat="1" x14ac:dyDescent="0.2"/>
    <row r="183" s="36" customFormat="1" x14ac:dyDescent="0.2"/>
    <row r="184" s="36" customFormat="1" x14ac:dyDescent="0.2"/>
    <row r="185" s="36" customFormat="1" x14ac:dyDescent="0.2"/>
    <row r="186" s="36" customFormat="1" x14ac:dyDescent="0.2"/>
    <row r="187" s="36" customFormat="1" x14ac:dyDescent="0.2"/>
    <row r="188" s="36" customFormat="1" x14ac:dyDescent="0.2"/>
    <row r="189" s="36" customFormat="1" x14ac:dyDescent="0.2"/>
    <row r="190" s="36" customFormat="1" x14ac:dyDescent="0.2"/>
    <row r="191" s="36" customFormat="1" x14ac:dyDescent="0.2"/>
    <row r="192" s="36" customFormat="1" x14ac:dyDescent="0.2"/>
    <row r="193" s="36" customFormat="1" x14ac:dyDescent="0.2"/>
    <row r="194" s="36" customFormat="1" x14ac:dyDescent="0.2"/>
    <row r="195" s="36" customFormat="1" x14ac:dyDescent="0.2"/>
    <row r="196" s="36" customFormat="1" x14ac:dyDescent="0.2"/>
    <row r="197" s="36" customFormat="1" x14ac:dyDescent="0.2"/>
    <row r="198" s="36" customFormat="1" x14ac:dyDescent="0.2"/>
    <row r="199" s="36" customFormat="1" x14ac:dyDescent="0.2"/>
    <row r="200" s="36" customFormat="1" x14ac:dyDescent="0.2"/>
    <row r="201" s="36" customFormat="1" x14ac:dyDescent="0.2"/>
    <row r="202" s="36" customFormat="1" x14ac:dyDescent="0.2"/>
    <row r="203" s="36" customFormat="1" x14ac:dyDescent="0.2"/>
    <row r="204" s="36" customFormat="1" x14ac:dyDescent="0.2"/>
    <row r="205" s="36" customFormat="1" x14ac:dyDescent="0.2"/>
    <row r="206" s="36" customFormat="1" x14ac:dyDescent="0.2"/>
    <row r="207" s="36" customFormat="1" x14ac:dyDescent="0.2"/>
    <row r="208" s="36" customFormat="1" x14ac:dyDescent="0.2"/>
    <row r="209" s="36" customFormat="1" x14ac:dyDescent="0.2"/>
    <row r="210" s="36" customFormat="1" x14ac:dyDescent="0.2"/>
    <row r="211" s="36" customFormat="1" x14ac:dyDescent="0.2"/>
    <row r="212" s="36" customFormat="1" x14ac:dyDescent="0.2"/>
    <row r="213" s="36" customFormat="1" x14ac:dyDescent="0.2"/>
    <row r="214" s="36" customFormat="1" x14ac:dyDescent="0.2"/>
    <row r="215" s="36" customFormat="1" x14ac:dyDescent="0.2"/>
    <row r="216" s="36" customFormat="1" x14ac:dyDescent="0.2"/>
    <row r="217" s="36" customFormat="1" x14ac:dyDescent="0.2"/>
    <row r="218" s="36" customFormat="1" x14ac:dyDescent="0.2"/>
    <row r="219" s="36" customFormat="1" x14ac:dyDescent="0.2"/>
    <row r="220" s="36" customFormat="1" x14ac:dyDescent="0.2"/>
    <row r="221" s="36" customFormat="1" x14ac:dyDescent="0.2"/>
    <row r="222" s="36" customFormat="1" x14ac:dyDescent="0.2"/>
    <row r="223" s="36" customFormat="1" x14ac:dyDescent="0.2"/>
    <row r="224" s="36" customFormat="1" x14ac:dyDescent="0.2"/>
    <row r="225" s="36" customFormat="1" x14ac:dyDescent="0.2"/>
    <row r="226" s="36" customFormat="1" x14ac:dyDescent="0.2"/>
    <row r="227" s="36" customFormat="1" x14ac:dyDescent="0.2"/>
    <row r="228" s="36" customFormat="1" x14ac:dyDescent="0.2"/>
    <row r="229" s="36" customFormat="1" x14ac:dyDescent="0.2"/>
    <row r="230" s="36" customFormat="1" x14ac:dyDescent="0.2"/>
    <row r="231" s="36" customFormat="1" x14ac:dyDescent="0.2"/>
    <row r="232" s="36" customFormat="1" x14ac:dyDescent="0.2"/>
    <row r="233" s="36" customFormat="1" x14ac:dyDescent="0.2"/>
    <row r="234" s="36" customFormat="1" x14ac:dyDescent="0.2"/>
    <row r="235" s="36" customFormat="1" x14ac:dyDescent="0.2"/>
    <row r="236" s="36" customFormat="1" x14ac:dyDescent="0.2"/>
    <row r="237" s="36" customFormat="1" x14ac:dyDescent="0.2"/>
    <row r="238" s="36" customFormat="1" x14ac:dyDescent="0.2"/>
    <row r="239" s="36" customFormat="1" x14ac:dyDescent="0.2"/>
    <row r="240" s="36" customFormat="1" x14ac:dyDescent="0.2"/>
    <row r="241" s="36" customFormat="1" x14ac:dyDescent="0.2"/>
    <row r="242" s="36" customFormat="1" x14ac:dyDescent="0.2"/>
    <row r="243" s="36" customFormat="1" x14ac:dyDescent="0.2"/>
    <row r="244" s="36" customFormat="1" x14ac:dyDescent="0.2"/>
    <row r="245" s="36" customFormat="1" x14ac:dyDescent="0.2"/>
    <row r="246" s="36" customFormat="1" x14ac:dyDescent="0.2"/>
    <row r="247" s="36" customFormat="1" x14ac:dyDescent="0.2"/>
    <row r="248" s="36" customFormat="1" x14ac:dyDescent="0.2"/>
  </sheetData>
  <mergeCells count="3">
    <mergeCell ref="A1:I1"/>
    <mergeCell ref="K1:S1"/>
    <mergeCell ref="U1:AC1"/>
  </mergeCells>
  <phoneticPr fontId="3" type="noConversion"/>
  <pageMargins left="0.7" right="0.7" top="0.75" bottom="0.75" header="0.3" footer="0.3"/>
  <pageSetup orientation="portrait" r:id="rId1"/>
  <ignoredErrors>
    <ignoredError xmlns:x16r3="http://schemas.microsoft.com/office/spreadsheetml/2018/08/main" sqref="M33:M35" x16r3:misleadingForma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11898-C0BB-4666-804A-70756FA677AA}">
  <dimension ref="A1:A8"/>
  <sheetViews>
    <sheetView zoomScale="145" zoomScaleNormal="145" workbookViewId="0">
      <selection activeCell="A9" sqref="A9"/>
    </sheetView>
  </sheetViews>
  <sheetFormatPr defaultRowHeight="34.5" customHeight="1" x14ac:dyDescent="0.25"/>
  <cols>
    <col min="1" max="1" width="74" style="23" customWidth="1"/>
    <col min="2" max="16384" width="9.140625" style="23"/>
  </cols>
  <sheetData>
    <row r="1" spans="1:1" ht="34.5" customHeight="1" x14ac:dyDescent="0.25">
      <c r="A1" s="87" t="s">
        <v>301</v>
      </c>
    </row>
    <row r="2" spans="1:1" ht="34.5" customHeight="1" x14ac:dyDescent="0.25">
      <c r="A2" s="83" t="s">
        <v>158</v>
      </c>
    </row>
    <row r="3" spans="1:1" ht="34.5" customHeight="1" x14ac:dyDescent="0.25">
      <c r="A3" s="83" t="s">
        <v>159</v>
      </c>
    </row>
    <row r="4" spans="1:1" ht="34.5" customHeight="1" x14ac:dyDescent="0.25">
      <c r="A4" s="83" t="s">
        <v>160</v>
      </c>
    </row>
    <row r="5" spans="1:1" ht="34.5" customHeight="1" x14ac:dyDescent="0.25">
      <c r="A5" s="83" t="s">
        <v>161</v>
      </c>
    </row>
    <row r="6" spans="1:1" ht="34.5" customHeight="1" x14ac:dyDescent="0.25">
      <c r="A6" s="83" t="s">
        <v>162</v>
      </c>
    </row>
    <row r="7" spans="1:1" ht="34.5" customHeight="1" x14ac:dyDescent="0.25">
      <c r="A7" s="83" t="s">
        <v>163</v>
      </c>
    </row>
    <row r="8" spans="1:1" ht="34.5" customHeight="1" x14ac:dyDescent="0.25">
      <c r="A8" s="24" t="s">
        <v>50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FA22E-FDEE-4EBB-8651-265F2AF322FE}">
  <dimension ref="A1:N89"/>
  <sheetViews>
    <sheetView workbookViewId="0">
      <selection activeCell="E15" sqref="E15"/>
    </sheetView>
  </sheetViews>
  <sheetFormatPr defaultRowHeight="15" x14ac:dyDescent="0.25"/>
  <cols>
    <col min="1" max="1" width="140.5703125" style="120" customWidth="1"/>
    <col min="2" max="14" width="9.140625" style="23"/>
  </cols>
  <sheetData>
    <row r="1" spans="1:1" ht="18.75" x14ac:dyDescent="0.25">
      <c r="A1" s="121" t="s">
        <v>268</v>
      </c>
    </row>
    <row r="2" spans="1:1" ht="45" x14ac:dyDescent="0.25">
      <c r="A2" s="123" t="s">
        <v>281</v>
      </c>
    </row>
    <row r="3" spans="1:1" ht="30" x14ac:dyDescent="0.25">
      <c r="A3" s="124" t="s">
        <v>282</v>
      </c>
    </row>
    <row r="4" spans="1:1" ht="30" x14ac:dyDescent="0.25">
      <c r="A4" s="124" t="s">
        <v>283</v>
      </c>
    </row>
    <row r="5" spans="1:1" ht="18.75" x14ac:dyDescent="0.25">
      <c r="A5" s="125" t="s">
        <v>269</v>
      </c>
    </row>
    <row r="6" spans="1:1" x14ac:dyDescent="0.25">
      <c r="A6" s="124" t="s">
        <v>284</v>
      </c>
    </row>
    <row r="7" spans="1:1" ht="30" x14ac:dyDescent="0.25">
      <c r="A7" s="126" t="s">
        <v>285</v>
      </c>
    </row>
    <row r="8" spans="1:1" x14ac:dyDescent="0.25">
      <c r="A8" s="124" t="s">
        <v>286</v>
      </c>
    </row>
    <row r="9" spans="1:1" x14ac:dyDescent="0.25">
      <c r="A9" s="126" t="s">
        <v>287</v>
      </c>
    </row>
    <row r="10" spans="1:1" x14ac:dyDescent="0.25">
      <c r="A10" s="126" t="s">
        <v>288</v>
      </c>
    </row>
    <row r="11" spans="1:1" ht="30" x14ac:dyDescent="0.25">
      <c r="A11" s="126" t="s">
        <v>289</v>
      </c>
    </row>
    <row r="12" spans="1:1" ht="18.75" x14ac:dyDescent="0.25">
      <c r="A12" s="125" t="s">
        <v>270</v>
      </c>
    </row>
    <row r="13" spans="1:1" ht="30" x14ac:dyDescent="0.25">
      <c r="A13" s="124" t="s">
        <v>290</v>
      </c>
    </row>
    <row r="14" spans="1:1" x14ac:dyDescent="0.25">
      <c r="A14" s="124" t="s">
        <v>291</v>
      </c>
    </row>
    <row r="15" spans="1:1" ht="30" x14ac:dyDescent="0.25">
      <c r="A15" s="124" t="s">
        <v>292</v>
      </c>
    </row>
    <row r="16" spans="1:1" ht="18.75" x14ac:dyDescent="0.25">
      <c r="A16" s="125" t="s">
        <v>271</v>
      </c>
    </row>
    <row r="17" spans="1:1" ht="30" x14ac:dyDescent="0.25">
      <c r="A17" s="124" t="s">
        <v>293</v>
      </c>
    </row>
    <row r="18" spans="1:1" ht="18.75" x14ac:dyDescent="0.25">
      <c r="A18" s="125" t="s">
        <v>272</v>
      </c>
    </row>
    <row r="19" spans="1:1" x14ac:dyDescent="0.25">
      <c r="A19" s="126" t="s">
        <v>294</v>
      </c>
    </row>
    <row r="20" spans="1:1" x14ac:dyDescent="0.25">
      <c r="A20" s="126" t="s">
        <v>295</v>
      </c>
    </row>
    <row r="21" spans="1:1" ht="30" x14ac:dyDescent="0.25">
      <c r="A21" s="126" t="s">
        <v>296</v>
      </c>
    </row>
    <row r="22" spans="1:1" ht="18.75" x14ac:dyDescent="0.25">
      <c r="A22" s="125" t="s">
        <v>273</v>
      </c>
    </row>
    <row r="23" spans="1:1" x14ac:dyDescent="0.25">
      <c r="A23" s="126" t="s">
        <v>297</v>
      </c>
    </row>
    <row r="24" spans="1:1" x14ac:dyDescent="0.25">
      <c r="A24" s="126" t="s">
        <v>298</v>
      </c>
    </row>
    <row r="25" spans="1:1" x14ac:dyDescent="0.25">
      <c r="A25" s="127" t="s">
        <v>274</v>
      </c>
    </row>
    <row r="26" spans="1:1" ht="18.75" x14ac:dyDescent="0.25">
      <c r="A26" s="125" t="s">
        <v>275</v>
      </c>
    </row>
    <row r="27" spans="1:1" ht="30" x14ac:dyDescent="0.25">
      <c r="A27" s="124" t="s">
        <v>299</v>
      </c>
    </row>
    <row r="28" spans="1:1" ht="30" x14ac:dyDescent="0.25">
      <c r="A28" s="124" t="s">
        <v>300</v>
      </c>
    </row>
    <row r="29" spans="1:1" ht="18.75" x14ac:dyDescent="0.25">
      <c r="A29" s="125" t="s">
        <v>276</v>
      </c>
    </row>
    <row r="30" spans="1:1" x14ac:dyDescent="0.25">
      <c r="A30" s="127" t="s">
        <v>277</v>
      </c>
    </row>
    <row r="31" spans="1:1" x14ac:dyDescent="0.25">
      <c r="A31" s="127" t="s">
        <v>278</v>
      </c>
    </row>
    <row r="32" spans="1:1" x14ac:dyDescent="0.25">
      <c r="A32" s="127" t="s">
        <v>279</v>
      </c>
    </row>
    <row r="33" spans="1:1" x14ac:dyDescent="0.25">
      <c r="A33" s="128" t="s">
        <v>280</v>
      </c>
    </row>
    <row r="34" spans="1:1" x14ac:dyDescent="0.25">
      <c r="A34" s="122"/>
    </row>
    <row r="35" spans="1:1" x14ac:dyDescent="0.25">
      <c r="A35" s="122"/>
    </row>
    <row r="36" spans="1:1" x14ac:dyDescent="0.25">
      <c r="A36" s="122"/>
    </row>
    <row r="37" spans="1:1" x14ac:dyDescent="0.25">
      <c r="A37" s="122"/>
    </row>
    <row r="38" spans="1:1" s="23" customFormat="1" x14ac:dyDescent="0.25">
      <c r="A38" s="122"/>
    </row>
    <row r="39" spans="1:1" s="23" customFormat="1" x14ac:dyDescent="0.25">
      <c r="A39" s="122"/>
    </row>
    <row r="40" spans="1:1" s="23" customFormat="1" x14ac:dyDescent="0.25">
      <c r="A40" s="122"/>
    </row>
    <row r="41" spans="1:1" s="23" customFormat="1" x14ac:dyDescent="0.25">
      <c r="A41" s="122"/>
    </row>
    <row r="42" spans="1:1" s="23" customFormat="1" x14ac:dyDescent="0.25">
      <c r="A42" s="122"/>
    </row>
    <row r="43" spans="1:1" s="23" customFormat="1" x14ac:dyDescent="0.25">
      <c r="A43" s="122"/>
    </row>
    <row r="44" spans="1:1" s="23" customFormat="1" x14ac:dyDescent="0.25">
      <c r="A44" s="122"/>
    </row>
    <row r="45" spans="1:1" s="23" customFormat="1" x14ac:dyDescent="0.25">
      <c r="A45" s="122"/>
    </row>
    <row r="46" spans="1:1" s="23" customFormat="1" x14ac:dyDescent="0.25">
      <c r="A46" s="122"/>
    </row>
    <row r="47" spans="1:1" s="23" customFormat="1" x14ac:dyDescent="0.25">
      <c r="A47" s="122"/>
    </row>
    <row r="48" spans="1:1" s="23" customFormat="1" x14ac:dyDescent="0.25">
      <c r="A48" s="122"/>
    </row>
    <row r="49" spans="1:1" s="23" customFormat="1" x14ac:dyDescent="0.25">
      <c r="A49" s="122"/>
    </row>
    <row r="50" spans="1:1" s="23" customFormat="1" x14ac:dyDescent="0.25">
      <c r="A50" s="122"/>
    </row>
    <row r="51" spans="1:1" s="23" customFormat="1" x14ac:dyDescent="0.25">
      <c r="A51" s="122"/>
    </row>
    <row r="52" spans="1:1" s="23" customFormat="1" x14ac:dyDescent="0.25">
      <c r="A52" s="122"/>
    </row>
    <row r="53" spans="1:1" s="23" customFormat="1" x14ac:dyDescent="0.25">
      <c r="A53" s="122"/>
    </row>
    <row r="54" spans="1:1" s="23" customFormat="1" x14ac:dyDescent="0.25">
      <c r="A54" s="122"/>
    </row>
    <row r="55" spans="1:1" s="23" customFormat="1" x14ac:dyDescent="0.25">
      <c r="A55" s="122"/>
    </row>
    <row r="56" spans="1:1" s="23" customFormat="1" x14ac:dyDescent="0.25">
      <c r="A56" s="122"/>
    </row>
    <row r="57" spans="1:1" s="23" customFormat="1" x14ac:dyDescent="0.25">
      <c r="A57" s="122"/>
    </row>
    <row r="58" spans="1:1" s="23" customFormat="1" x14ac:dyDescent="0.25">
      <c r="A58" s="122"/>
    </row>
    <row r="59" spans="1:1" s="23" customFormat="1" x14ac:dyDescent="0.25">
      <c r="A59" s="122"/>
    </row>
    <row r="60" spans="1:1" s="23" customFormat="1" x14ac:dyDescent="0.25">
      <c r="A60" s="122"/>
    </row>
    <row r="61" spans="1:1" s="23" customFormat="1" x14ac:dyDescent="0.25">
      <c r="A61" s="122"/>
    </row>
    <row r="62" spans="1:1" s="23" customFormat="1" x14ac:dyDescent="0.25">
      <c r="A62" s="122"/>
    </row>
    <row r="63" spans="1:1" s="23" customFormat="1" x14ac:dyDescent="0.25">
      <c r="A63" s="122"/>
    </row>
    <row r="64" spans="1:1" s="23" customFormat="1" x14ac:dyDescent="0.25">
      <c r="A64" s="122"/>
    </row>
    <row r="65" spans="1:1" s="23" customFormat="1" x14ac:dyDescent="0.25">
      <c r="A65" s="122"/>
    </row>
    <row r="66" spans="1:1" s="23" customFormat="1" x14ac:dyDescent="0.25">
      <c r="A66" s="122"/>
    </row>
    <row r="67" spans="1:1" s="23" customFormat="1" x14ac:dyDescent="0.25">
      <c r="A67" s="122"/>
    </row>
    <row r="68" spans="1:1" s="23" customFormat="1" x14ac:dyDescent="0.25">
      <c r="A68" s="122"/>
    </row>
    <row r="69" spans="1:1" s="23" customFormat="1" x14ac:dyDescent="0.25">
      <c r="A69" s="122"/>
    </row>
    <row r="70" spans="1:1" s="23" customFormat="1" x14ac:dyDescent="0.25">
      <c r="A70" s="122"/>
    </row>
    <row r="71" spans="1:1" s="23" customFormat="1" x14ac:dyDescent="0.25">
      <c r="A71" s="122"/>
    </row>
    <row r="72" spans="1:1" s="23" customFormat="1" x14ac:dyDescent="0.25">
      <c r="A72" s="122"/>
    </row>
    <row r="73" spans="1:1" s="23" customFormat="1" x14ac:dyDescent="0.25">
      <c r="A73" s="122"/>
    </row>
    <row r="74" spans="1:1" s="23" customFormat="1" x14ac:dyDescent="0.25">
      <c r="A74" s="122"/>
    </row>
    <row r="75" spans="1:1" s="23" customFormat="1" x14ac:dyDescent="0.25">
      <c r="A75" s="122"/>
    </row>
    <row r="76" spans="1:1" s="23" customFormat="1" x14ac:dyDescent="0.25">
      <c r="A76" s="122"/>
    </row>
    <row r="77" spans="1:1" s="23" customFormat="1" x14ac:dyDescent="0.25">
      <c r="A77" s="122"/>
    </row>
    <row r="78" spans="1:1" s="23" customFormat="1" x14ac:dyDescent="0.25">
      <c r="A78" s="122"/>
    </row>
    <row r="79" spans="1:1" s="23" customFormat="1" x14ac:dyDescent="0.25">
      <c r="A79" s="122"/>
    </row>
    <row r="80" spans="1:1" s="23" customFormat="1" x14ac:dyDescent="0.25">
      <c r="A80" s="122"/>
    </row>
    <row r="81" spans="1:1" s="23" customFormat="1" x14ac:dyDescent="0.25">
      <c r="A81" s="122"/>
    </row>
    <row r="82" spans="1:1" s="23" customFormat="1" x14ac:dyDescent="0.25">
      <c r="A82" s="122"/>
    </row>
    <row r="83" spans="1:1" s="23" customFormat="1" x14ac:dyDescent="0.25">
      <c r="A83" s="122"/>
    </row>
    <row r="84" spans="1:1" s="23" customFormat="1" x14ac:dyDescent="0.25">
      <c r="A84" s="122"/>
    </row>
    <row r="85" spans="1:1" s="23" customFormat="1" x14ac:dyDescent="0.25">
      <c r="A85" s="122"/>
    </row>
    <row r="86" spans="1:1" s="23" customFormat="1" x14ac:dyDescent="0.25">
      <c r="A86" s="122"/>
    </row>
    <row r="87" spans="1:1" s="23" customFormat="1" x14ac:dyDescent="0.25">
      <c r="A87" s="122"/>
    </row>
    <row r="88" spans="1:1" s="23" customFormat="1" x14ac:dyDescent="0.25">
      <c r="A88" s="122"/>
    </row>
    <row r="89" spans="1:1" s="23" customFormat="1" x14ac:dyDescent="0.25">
      <c r="A89" s="12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8F49F699DEB444FAC3916485660CFB4" ma:contentTypeVersion="12" ma:contentTypeDescription="Create a new document." ma:contentTypeScope="" ma:versionID="a0c804dcb71fa416867b3e83e5fc32bc">
  <xsd:schema xmlns:xsd="http://www.w3.org/2001/XMLSchema" xmlns:xs="http://www.w3.org/2001/XMLSchema" xmlns:p="http://schemas.microsoft.com/office/2006/metadata/properties" xmlns:ns2="c88df2ca-9fe7-403d-89a9-e16b7e4c2c41" xmlns:ns3="aa75d595-40f9-4b09-abdf-d5b106872cba" targetNamespace="http://schemas.microsoft.com/office/2006/metadata/properties" ma:root="true" ma:fieldsID="bcc3b01335bcf17c1bf164ecd2e2075c" ns2:_="" ns3:_="">
    <xsd:import namespace="c88df2ca-9fe7-403d-89a9-e16b7e4c2c41"/>
    <xsd:import namespace="aa75d595-40f9-4b09-abdf-d5b106872cb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8df2ca-9fe7-403d-89a9-e16b7e4c2c4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e0e6a83-a79a-4e4c-b87e-050fe84098a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a75d595-40f9-4b09-abdf-d5b106872cb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1f81deb-0dae-4235-8f1b-71b33f225808}" ma:internalName="TaxCatchAll" ma:showField="CatchAllData" ma:web="aa75d595-40f9-4b09-abdf-d5b106872cb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aa75d595-40f9-4b09-abdf-d5b106872cba" xsi:nil="true"/>
    <lcf76f155ced4ddcb4097134ff3c332f xmlns="c88df2ca-9fe7-403d-89a9-e16b7e4c2c41">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5F71A2D-C168-4C94-9880-6B263BC40F5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88df2ca-9fe7-403d-89a9-e16b7e4c2c41"/>
    <ds:schemaRef ds:uri="aa75d595-40f9-4b09-abdf-d5b106872cb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9DC0A72-3BCA-47D1-9486-3D9E12844D1C}">
  <ds:schemaRefs>
    <ds:schemaRef ds:uri="http://schemas.microsoft.com/office/2006/metadata/properties"/>
    <ds:schemaRef ds:uri="http://schemas.microsoft.com/office/infopath/2007/PartnerControls"/>
    <ds:schemaRef ds:uri="aa75d595-40f9-4b09-abdf-d5b106872cba"/>
    <ds:schemaRef ds:uri="c88df2ca-9fe7-403d-89a9-e16b7e4c2c41"/>
  </ds:schemaRefs>
</ds:datastoreItem>
</file>

<file path=customXml/itemProps3.xml><?xml version="1.0" encoding="utf-8"?>
<ds:datastoreItem xmlns:ds="http://schemas.openxmlformats.org/officeDocument/2006/customXml" ds:itemID="{1883E535-05AD-4775-A2F7-61AD865BD73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Parameters</vt:lpstr>
      <vt:lpstr>Orchard</vt:lpstr>
      <vt:lpstr>Orchard Analysis</vt:lpstr>
      <vt:lpstr>capex</vt:lpstr>
      <vt:lpstr>P&amp;L</vt:lpstr>
      <vt:lpstr>capital structure</vt:lpstr>
      <vt:lpstr>Returns</vt:lpstr>
      <vt:lpstr>Growth strategies</vt:lpstr>
      <vt:lpstr>AI Case analysis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Joris Kroese</dc:creator>
  <cp:keywords/>
  <dc:description/>
  <cp:lastModifiedBy>Joris Kroese</cp:lastModifiedBy>
  <cp:revision/>
  <dcterms:created xsi:type="dcterms:W3CDTF">2026-01-29T09:08:24Z</dcterms:created>
  <dcterms:modified xsi:type="dcterms:W3CDTF">2026-02-07T09:33:26Z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0x01010098F49F699DEB444FAC3916485660CFB4</vt:lpwstr>
  </property>
  <property fmtid="{D5CDD505-2E9C-101B-9397-08002B2CF9AE}" pid="3" name="MediaServiceImageTags">
    <vt:lpwstr/>
  </property>
</Properties>
</file>